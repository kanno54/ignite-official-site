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efd9a55ed884541" /></Relationships>
</file>

<file path=xl/workbook.xml><?xml version="1.0" encoding="utf-8"?>
<x:workbook xmlns:x="http://schemas.openxmlformats.org/spreadsheetml/2006/main">
  <x:sheets>
    <x:sheet xmlns:r="http://schemas.openxmlformats.org/officeDocument/2006/relationships" name="00_制作方針" sheetId="1" r:id="R093c6f41f49b4997"/>
    <x:sheet xmlns:r="http://schemas.openxmlformats.org/officeDocument/2006/relationships" name="01_動画リスト" sheetId="2" r:id="R4dbd7c141c8148a9"/>
    <x:sheet xmlns:r="http://schemas.openxmlformats.org/officeDocument/2006/relationships" name="02_画像素材" sheetId="3" r:id="Rfbdc6d36a15f42e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0">
    <x:font>
      <x:sz val="11"/>
      <x:name val="Carlito"/>
    </x:font>
    <x:font>
      <x:b/>
      <x:sz val="20"/>
      <x:color rgb="FFFFFFFF"/>
      <x:name val="Carlito"/>
    </x:font>
    <x:font>
      <x:sz val="10"/>
      <x:color rgb="FFDDE1E8"/>
      <x:name val="Carlito"/>
    </x:font>
    <x:font>
      <x:b/>
      <x:sz val="10"/>
      <x:color rgb="FF111318"/>
      <x:name val="Carlito"/>
    </x:font>
    <x:font>
      <x:b/>
      <x:sz val="18"/>
      <x:color rgb="FFA8343A"/>
      <x:name val="Carlito"/>
    </x:font>
    <x:font>
      <x:b/>
      <x:sz val="10"/>
      <x:color rgb="FF6B7280"/>
      <x:name val="Carlito"/>
    </x:font>
    <x:font>
      <x:b/>
      <x:sz val="11"/>
      <x:color rgb="FFFFFFFF"/>
      <x:name val="Carlito"/>
    </x:font>
    <x:font>
      <x:b/>
      <x:sz val="10"/>
      <x:color rgb="FFFFFFFF"/>
      <x:name val="Carlito"/>
    </x:font>
    <x:font>
      <x:sz val="9"/>
      <x:color rgb="FF111318"/>
      <x:name val="Carlito"/>
    </x:font>
    <x:font>
      <x:i/>
      <x:sz val="10"/>
      <x:color rgb="FF5A4210"/>
      <x:name val="Carlito"/>
    </x:font>
  </x:fonts>
  <x:fills count="7">
    <x:fill>
      <x:patternFill patternType="none"/>
    </x:fill>
    <x:fill>
      <x:patternFill patternType="gray125"/>
    </x:fill>
    <x:fill>
      <x:patternFill patternType="solid">
        <x:fgColor rgb="FF111318"/>
      </x:patternFill>
    </x:fill>
    <x:fill>
      <x:patternFill patternType="solid">
        <x:fgColor rgb="FF1B1F27"/>
      </x:patternFill>
    </x:fill>
    <x:fill>
      <x:patternFill patternType="solid">
        <x:fgColor rgb="FFF3E8C5"/>
      </x:patternFill>
    </x:fill>
    <x:fill>
      <x:patternFill patternType="solid">
        <x:fgColor rgb="FFFFFFFF"/>
      </x:patternFill>
    </x:fill>
    <x:fill>
      <x:patternFill patternType="solid">
        <x:fgColor rgb="FFFFF6DA"/>
      </x:patternFill>
    </x:fill>
  </x:fills>
  <x:borders count="20">
    <x:border/>
    <x:border>
      <x:left style="thin">
        <x:color rgb="FFD7D2C7"/>
      </x:left>
      <x:top style="thin">
        <x:color rgb="FFD7D2C7"/>
      </x:top>
    </x:border>
    <x:border>
      <x:top style="thin">
        <x:color rgb="FFD7D2C7"/>
      </x:top>
    </x:border>
    <x:border>
      <x:right style="thin">
        <x:color rgb="FFD7D2C7"/>
      </x:right>
      <x:top style="thin">
        <x:color rgb="FFD7D2C7"/>
      </x:top>
    </x:border>
    <x:border>
      <x:left style="thin">
        <x:color rgb="FFD7D2C7"/>
      </x:left>
      <x:bottom style="thin">
        <x:color rgb="FFD7D2C7"/>
      </x:bottom>
    </x:border>
    <x:border>
      <x:bottom style="thin">
        <x:color rgb="FFD7D2C7"/>
      </x:bottom>
    </x:border>
    <x:border>
      <x:right style="thin">
        <x:color rgb="FFD7D2C7"/>
      </x:right>
      <x:bottom style="thin">
        <x:color rgb="FFD7D2C7"/>
      </x:bottom>
    </x:border>
    <x:border>
      <x:right style="thin">
        <x:color rgb="FF39414E"/>
      </x:right>
    </x:border>
    <x:border>
      <x:left style="thin">
        <x:color rgb="FF39414E"/>
      </x:left>
      <x:right style="thin">
        <x:color rgb="FF39414E"/>
      </x:right>
    </x:border>
    <x:border>
      <x:left style="thin">
        <x:color rgb="FF39414E"/>
      </x:left>
    </x:border>
    <x:border>
      <x:bottom style="thin">
        <x:color rgb="FFE7E3DA"/>
      </x:bottom>
    </x:border>
    <x:border>
      <x:top style="thin">
        <x:color rgb="FFE7E3DA"/>
      </x:top>
      <x:bottom style="thin">
        <x:color rgb="FFE7E3DA"/>
      </x:bottom>
    </x:border>
    <x:border>
      <x:top style="thin">
        <x:color rgb="FFE7E3DA"/>
      </x:top>
      <x:bottom style="thin">
        <x:color rgb="FFD7D2C7"/>
      </x:bottom>
    </x:border>
    <x:border>
      <x:left style="thin">
        <x:color rgb="FFD9B65D"/>
      </x:left>
      <x:top style="thin">
        <x:color rgb="FFD9B65D"/>
      </x:top>
    </x:border>
    <x:border>
      <x:top style="thin">
        <x:color rgb="FFD9B65D"/>
      </x:top>
    </x:border>
    <x:border>
      <x:right style="thin">
        <x:color rgb="FFD9B65D"/>
      </x:right>
      <x:top style="thin">
        <x:color rgb="FFD9B65D"/>
      </x:top>
    </x:border>
    <x:border>
      <x:left style="thin">
        <x:color rgb="FFD9B65D"/>
      </x:left>
      <x:bottom style="thin">
        <x:color rgb="FFD9B65D"/>
      </x:bottom>
    </x:border>
    <x:border>
      <x:bottom style="thin">
        <x:color rgb="FFD9B65D"/>
      </x:bottom>
    </x:border>
    <x:border>
      <x:right style="thin">
        <x:color rgb="FFD9B65D"/>
      </x:right>
      <x:bottom style="thin">
        <x:color rgb="FFD9B65D"/>
      </x:bottom>
    </x:border>
    <x:border>
      <x:bottom style="thick">
        <x:color rgb="FFD9B65D"/>
      </x:bottom>
    </x:border>
  </x:borders>
  <x:cellStyleXfs count="1">
    <x:xf numFmtId="0" fontId="0" fillId="0" borderId="0"/>
  </x:cellStyleXfs>
  <x:cellXfs count="8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1" xfId="0" applyNumberFormat="1" applyFont="1" applyFill="1" applyBorder="1" applyAlignment="1">
      <x:alignment horizontal="center"/>
    </x:xf>
    <x:xf numFmtId="0" fontId="4" fillId="5" borderId="2" xfId="0" applyNumberFormat="1" applyFont="1" applyFill="1" applyBorder="1" applyAlignment="1">
      <x:alignment horizontal="center"/>
    </x:xf>
    <x:xf numFmtId="0" fontId="4" fillId="5" borderId="3" xfId="0" applyNumberFormat="1" applyFont="1" applyFill="1" applyBorder="1" applyAlignment="1">
      <x:alignment horizontal="center"/>
    </x:xf>
    <x:xf numFmtId="0" fontId="4" fillId="5" borderId="4" xfId="0" applyNumberFormat="1" applyFont="1" applyFill="1" applyBorder="1" applyAlignment="1">
      <x:alignment horizontal="center"/>
    </x:xf>
    <x:xf numFmtId="0" fontId="4" fillId="5" borderId="5" xfId="0" applyNumberFormat="1" applyFont="1" applyFill="1" applyBorder="1" applyAlignment="1">
      <x:alignment horizontal="center"/>
    </x:xf>
    <x:xf numFmtId="0" fontId="4" fillId="5" borderId="6"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4" fillId="5" borderId="2" xfId="0" applyNumberFormat="1" applyFont="1" applyFill="1" applyBorder="1" applyAlignment="1">
      <x:alignment horizontal="center" vertical="center"/>
    </x:xf>
    <x:xf numFmtId="0" fontId="4" fillId="5" borderId="3" xfId="0" applyNumberFormat="1" applyFont="1" applyFill="1" applyBorder="1" applyAlignment="1">
      <x:alignment horizontal="center" vertical="center"/>
    </x:xf>
    <x:xf numFmtId="0" fontId="4" fillId="5" borderId="4" xfId="0" applyNumberFormat="1" applyFont="1" applyFill="1" applyBorder="1" applyAlignment="1">
      <x:alignment horizontal="center" vertical="center"/>
    </x:xf>
    <x:xf numFmtId="0" fontId="4" fillId="5" borderId="5" xfId="0" applyNumberFormat="1" applyFont="1" applyFill="1" applyBorder="1" applyAlignment="1">
      <x:alignment horizontal="center" vertical="center"/>
    </x:xf>
    <x:xf numFmtId="0" fontId="4" fillId="5" borderId="6" xfId="0" applyNumberFormat="1" applyFont="1" applyFill="1" applyBorder="1" applyAlignment="1">
      <x:alignment horizontal="center" vertical="center"/>
    </x:xf>
    <x:xf numFmtId="0" fontId="5" fillId="5" borderId="2" xfId="0" applyNumberFormat="1" applyFont="1" applyFill="1" applyBorder="1" applyAlignment="1">
      <x:alignment horizontal="center" vertical="center"/>
    </x:xf>
    <x:xf numFmtId="0" fontId="5" fillId="5" borderId="5" xfId="0" applyNumberFormat="1" applyFont="1" applyFill="1" applyBorder="1" applyAlignment="1">
      <x:alignment horizontal="center" vertical="center"/>
    </x:xf>
    <x:xf numFmtId="0" fontId="5" fillId="5" borderId="3" xfId="0" applyNumberFormat="1" applyFont="1" applyFill="1" applyBorder="1" applyAlignment="1">
      <x:alignment horizontal="center" vertical="center"/>
    </x:xf>
    <x:xf numFmtId="0" fontId="5" fillId="5" borderId="6" xfId="0" applyNumberFormat="1" applyFont="1" applyFill="1" applyBorder="1" applyAlignment="1">
      <x:alignment horizontal="center" vertical="center"/>
    </x:xf>
    <x:xf numFmtId="0" fontId="6" fillId="3" borderId="0" xfId="0" applyNumberFormat="1" applyFont="1" applyFill="1" applyBorder="1"/>
    <x:xf numFmtId="0" fontId="6" fillId="3" borderId="0" xfId="0" applyNumberFormat="1" applyFont="1" applyFill="1" applyBorder="1" applyAlignment="1">
      <x:alignment vertical="center"/>
    </x:xf>
    <x:xf numFmtId="0" fontId="7" fillId="2" borderId="0" xfId="0" applyNumberFormat="1" applyFont="1" applyFill="1" applyBorder="1"/>
    <x:xf numFmtId="0" fontId="7" fillId="2" borderId="7" xfId="0" applyNumberFormat="1" applyFont="1" applyFill="1" applyBorder="1"/>
    <x:xf numFmtId="0" fontId="7" fillId="2" borderId="8" xfId="0" applyNumberFormat="1" applyFont="1" applyFill="1" applyBorder="1"/>
    <x:xf numFmtId="0" fontId="7" fillId="2" borderId="9" xfId="0" applyNumberFormat="1" applyFont="1" applyFill="1" applyBorder="1"/>
    <x:xf numFmtId="0" fontId="7" fillId="2" borderId="7" xfId="0" applyNumberFormat="1" applyFont="1" applyFill="1" applyBorder="1" applyAlignment="1">
      <x:alignment wrapText="1"/>
    </x:xf>
    <x:xf numFmtId="0" fontId="7" fillId="2" borderId="8" xfId="0" applyNumberFormat="1" applyFont="1" applyFill="1" applyBorder="1" applyAlignment="1">
      <x:alignment wrapText="1"/>
    </x:xf>
    <x:xf numFmtId="0" fontId="7" fillId="2" borderId="9" xfId="0" applyNumberFormat="1" applyFont="1" applyFill="1" applyBorder="1" applyAlignment="1">
      <x:alignment wrapText="1"/>
    </x:xf>
    <x:xf numFmtId="0" fontId="7" fillId="2" borderId="7" xfId="0" applyNumberFormat="1" applyFont="1" applyFill="1" applyBorder="1" applyAlignment="1">
      <x:alignment horizontal="center" wrapText="1"/>
    </x:xf>
    <x:xf numFmtId="0" fontId="7" fillId="2" borderId="8" xfId="0" applyNumberFormat="1" applyFont="1" applyFill="1" applyBorder="1" applyAlignment="1">
      <x:alignment horizontal="center" wrapText="1"/>
    </x:xf>
    <x:xf numFmtId="0" fontId="7" fillId="2" borderId="9" xfId="0" applyNumberFormat="1" applyFont="1" applyFill="1" applyBorder="1" applyAlignment="1">
      <x:alignment horizontal="center" wrapText="1"/>
    </x:xf>
    <x:xf numFmtId="0" fontId="7" fillId="2" borderId="7" xfId="0" applyNumberFormat="1" applyFont="1" applyFill="1" applyBorder="1" applyAlignment="1">
      <x:alignment horizontal="center" vertical="center" wrapText="1"/>
    </x:xf>
    <x:xf numFmtId="0" fontId="7" fillId="2" borderId="8" xfId="0" applyNumberFormat="1" applyFont="1" applyFill="1" applyBorder="1" applyAlignment="1">
      <x:alignment horizontal="center" vertical="center" wrapText="1"/>
    </x:xf>
    <x:xf numFmtId="0" fontId="7" fillId="2" borderId="9" xfId="0" applyNumberFormat="1" applyFont="1" applyFill="1" applyBorder="1" applyAlignment="1">
      <x:alignment horizontal="center" vertical="center" wrapText="1"/>
    </x:xf>
    <x:xf numFmtId="0" fontId="8" fillId="0" borderId="0" xfId="0" applyNumberFormat="1" applyFont="1" applyFill="1" applyBorder="1"/>
    <x:xf numFmtId="0" fontId="8" fillId="0" borderId="10" xfId="0" applyNumberFormat="1" applyFont="1" applyFill="1" applyBorder="1"/>
    <x:xf numFmtId="0" fontId="8" fillId="0" borderId="11" xfId="0" applyNumberFormat="1" applyFont="1" applyFill="1" applyBorder="1"/>
    <x:xf numFmtId="0" fontId="8" fillId="0" borderId="12" xfId="0" applyNumberFormat="1" applyFont="1" applyFill="1" applyBorder="1"/>
    <x:xf numFmtId="0" fontId="8" fillId="0" borderId="10" xfId="0" applyNumberFormat="1" applyFont="1" applyFill="1" applyBorder="1" applyAlignment="1">
      <x:alignment wrapText="1"/>
    </x:xf>
    <x:xf numFmtId="0" fontId="8" fillId="0" borderId="11" xfId="0" applyNumberFormat="1" applyFont="1" applyFill="1" applyBorder="1" applyAlignment="1">
      <x:alignment wrapText="1"/>
    </x:xf>
    <x:xf numFmtId="0" fontId="8" fillId="0" borderId="12" xfId="0" applyNumberFormat="1" applyFont="1" applyFill="1" applyBorder="1" applyAlignment="1">
      <x:alignment wrapText="1"/>
    </x:xf>
    <x:xf numFmtId="0" fontId="8" fillId="0" borderId="10"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0" borderId="10" xfId="0" applyNumberFormat="1" applyFont="1" applyFill="1" applyBorder="1" applyAlignment="1">
      <x:alignment horizontal="center" vertical="top" wrapText="1"/>
    </x:xf>
    <x:xf numFmtId="0" fontId="8" fillId="0" borderId="11" xfId="0" applyNumberFormat="1" applyFont="1" applyFill="1" applyBorder="1" applyAlignment="1">
      <x:alignment horizontal="center" vertical="top" wrapText="1"/>
    </x:xf>
    <x:xf numFmtId="0" fontId="8" fillId="0" borderId="12" xfId="0" applyNumberFormat="1" applyFont="1" applyFill="1" applyBorder="1" applyAlignment="1">
      <x:alignment horizontal="center" vertical="top" wrapText="1"/>
    </x:xf>
    <x:xf numFmtId="0" fontId="0" fillId="6" borderId="0" xfId="0" applyNumberFormat="1" applyFont="1" applyFill="1" applyBorder="1"/>
    <x:xf numFmtId="0" fontId="9" fillId="6" borderId="0" xfId="0" applyNumberFormat="1" applyFont="1" applyFill="1" applyBorder="1"/>
    <x:xf numFmtId="0" fontId="9" fillId="6" borderId="13" xfId="0" applyNumberFormat="1" applyFont="1" applyFill="1" applyBorder="1"/>
    <x:xf numFmtId="0" fontId="9" fillId="6" borderId="14" xfId="0" applyNumberFormat="1" applyFont="1" applyFill="1" applyBorder="1"/>
    <x:xf numFmtId="0" fontId="9" fillId="6" borderId="15" xfId="0" applyNumberFormat="1" applyFont="1" applyFill="1" applyBorder="1"/>
    <x:xf numFmtId="0" fontId="9" fillId="6" borderId="16" xfId="0" applyNumberFormat="1" applyFont="1" applyFill="1" applyBorder="1"/>
    <x:xf numFmtId="0" fontId="9" fillId="6" borderId="17" xfId="0" applyNumberFormat="1" applyFont="1" applyFill="1" applyBorder="1"/>
    <x:xf numFmtId="0" fontId="9" fillId="6" borderId="18" xfId="0" applyNumberFormat="1" applyFont="1" applyFill="1" applyBorder="1"/>
    <x:xf numFmtId="0" fontId="9" fillId="6" borderId="13" xfId="0" applyNumberFormat="1" applyFont="1" applyFill="1" applyBorder="1" applyAlignment="1">
      <x:alignment wrapText="1"/>
    </x:xf>
    <x:xf numFmtId="0" fontId="9" fillId="6" borderId="14" xfId="0" applyNumberFormat="1" applyFont="1" applyFill="1" applyBorder="1" applyAlignment="1">
      <x:alignment wrapText="1"/>
    </x:xf>
    <x:xf numFmtId="0" fontId="9" fillId="6" borderId="15" xfId="0" applyNumberFormat="1" applyFont="1" applyFill="1" applyBorder="1" applyAlignment="1">
      <x:alignment wrapText="1"/>
    </x:xf>
    <x:xf numFmtId="0" fontId="9" fillId="6" borderId="16" xfId="0" applyNumberFormat="1" applyFont="1" applyFill="1" applyBorder="1" applyAlignment="1">
      <x:alignment wrapText="1"/>
    </x:xf>
    <x:xf numFmtId="0" fontId="9" fillId="6" borderId="17" xfId="0" applyNumberFormat="1" applyFont="1" applyFill="1" applyBorder="1" applyAlignment="1">
      <x:alignment wrapText="1"/>
    </x:xf>
    <x:xf numFmtId="0" fontId="9" fillId="6" borderId="18" xfId="0" applyNumberFormat="1" applyFont="1" applyFill="1" applyBorder="1" applyAlignment="1">
      <x:alignment wrapText="1"/>
    </x:xf>
    <x:xf numFmtId="0" fontId="9" fillId="6" borderId="13" xfId="0" applyNumberFormat="1" applyFont="1" applyFill="1" applyBorder="1" applyAlignment="1">
      <x:alignment vertical="center" wrapText="1"/>
    </x:xf>
    <x:xf numFmtId="0" fontId="9" fillId="6" borderId="14" xfId="0" applyNumberFormat="1" applyFont="1" applyFill="1" applyBorder="1" applyAlignment="1">
      <x:alignment vertical="center" wrapText="1"/>
    </x:xf>
    <x:xf numFmtId="0" fontId="9" fillId="6" borderId="15" xfId="0" applyNumberFormat="1" applyFont="1" applyFill="1" applyBorder="1" applyAlignment="1">
      <x:alignment vertical="center" wrapText="1"/>
    </x:xf>
    <x:xf numFmtId="0" fontId="9" fillId="6" borderId="16" xfId="0" applyNumberFormat="1" applyFont="1" applyFill="1" applyBorder="1" applyAlignment="1">
      <x:alignment vertical="center" wrapText="1"/>
    </x:xf>
    <x:xf numFmtId="0" fontId="9" fillId="6" borderId="17" xfId="0" applyNumberFormat="1" applyFont="1" applyFill="1" applyBorder="1" applyAlignment="1">
      <x:alignment vertical="center" wrapText="1"/>
    </x:xf>
    <x:xf numFmtId="0" fontId="9" fillId="6" borderId="18" xfId="0" applyNumberFormat="1" applyFont="1" applyFill="1" applyBorder="1" applyAlignment="1">
      <x:alignment vertical="center" wrapText="1"/>
    </x:xf>
    <x:xf numFmtId="200" fontId="8" fillId="0" borderId="10" xfId="0" applyNumberFormat="1" applyFont="1" applyFill="1" applyBorder="1" applyAlignment="1">
      <x:alignment horizontal="center" vertical="top" wrapText="1"/>
    </x:xf>
    <x:xf numFmtId="200" fontId="8" fillId="0" borderId="11" xfId="0" applyNumberFormat="1" applyFont="1" applyFill="1" applyBorder="1" applyAlignment="1">
      <x:alignment horizontal="center" vertical="top" wrapText="1"/>
    </x:xf>
    <x:xf numFmtId="200" fontId="8" fillId="0" borderId="12" xfId="0" applyNumberFormat="1" applyFont="1" applyFill="1" applyBorder="1" applyAlignment="1">
      <x:alignment horizontal="center" vertical="top" wrapText="1"/>
    </x:xf>
    <x:xf numFmtId="0" fontId="0" fillId="0" borderId="0" xfId="0" applyNumberFormat="1" applyFont="1" applyFill="1" applyBorder="1"/>
    <x:xf numFmtId="0" fontId="1" fillId="2" borderId="19" xfId="0" applyNumberFormat="1" applyFont="1" applyFill="1" applyBorder="1" applyAlignment="1">
      <x:alignment vertical="center"/>
    </x:xf>
    <x:xf numFmtId="0" fontId="0" fillId="0" borderId="19" xfId="0" applyNumberFormat="1" applyFont="1" applyFill="1" applyBorder="1"/>
  </x:cellXfs>
  <x:cellStyles count="1">
    <x:cellStyle name="Normal" xfId="0"/>
  </x:cellStyles>
  <x:dxfs count="10">
    <x:dxf>
      <x:font>
        <x:b/>
        <x:color rgb="FF111318"/>
      </x:font>
      <x:fill>
        <x:patternFill patternType="solid">
          <x:bgColor rgb="FFF6D365"/>
        </x:patternFill>
      </x:fill>
    </x:dxf>
    <x:dxf>
      <x:font>
        <x:b/>
        <x:color rgb="FF111318"/>
      </x:font>
      <x:fill>
        <x:patternFill patternType="solid">
          <x:bgColor rgb="FFF4B183"/>
        </x:patternFill>
      </x:fill>
    </x:dxf>
    <x:dxf>
      <x:font>
        <x:b/>
        <x:color rgb="FF111318"/>
      </x:font>
      <x:fill>
        <x:patternFill patternType="solid">
          <x:bgColor rgb="FF9DC3E6"/>
        </x:patternFill>
      </x:fill>
    </x:dxf>
    <x:dxf>
      <x:font>
        <x:b/>
        <x:color rgb="FF111318"/>
      </x:font>
      <x:fill>
        <x:patternFill patternType="solid">
          <x:bgColor rgb="FFD9D9D9"/>
        </x:patternFill>
      </x:fill>
    </x:dxf>
    <x:dxf>
      <x:font>
        <x:b/>
        <x:color rgb="FF254B2C"/>
      </x:font>
      <x:fill>
        <x:patternFill patternType="solid">
          <x:bgColor rgb="FFC6E0B4"/>
        </x:patternFill>
      </x:fill>
    </x:dxf>
    <x:dxf>
      <x:font>
        <x:b/>
        <x:color rgb="FF111318"/>
      </x:font>
      <x:fill>
        <x:patternFill patternType="solid">
          <x:bgColor rgb="FFF6D365"/>
        </x:patternFill>
      </x:fill>
    </x:dxf>
    <x:dxf>
      <x:font>
        <x:b/>
        <x:color rgb="FF111318"/>
      </x:font>
      <x:fill>
        <x:patternFill patternType="solid">
          <x:bgColor rgb="FFF4B183"/>
        </x:patternFill>
      </x:fill>
    </x:dxf>
    <x:dxf>
      <x:font>
        <x:b/>
        <x:color rgb="FF111318"/>
      </x:font>
      <x:fill>
        <x:patternFill patternType="solid">
          <x:bgColor rgb="FF9DC3E6"/>
        </x:patternFill>
      </x:fill>
    </x:dxf>
    <x:dxf>
      <x:font>
        <x:b/>
        <x:color rgb="FF111318"/>
      </x:font>
      <x:fill>
        <x:patternFill patternType="solid">
          <x:bgColor rgb="FFD9D9D9"/>
        </x:patternFill>
      </x:fill>
    </x:dxf>
    <x:dxf>
      <x:font>
        <x:b/>
        <x:color rgb="FF254B2C"/>
      </x:font>
      <x:fill>
        <x:patternFill patternType="solid">
          <x:bgColor rgb="FFC6E0B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6d55b9f7984369" /><Relationship Type="http://schemas.openxmlformats.org/officeDocument/2006/relationships/theme" Target="/xl/theme/theme1.xml" Id="Rffecf668a59845cf" /><Relationship Type="http://schemas.openxmlformats.org/officeDocument/2006/relationships/sharedStrings" Target="/xl/sharedStrings.xml" Id="Rfedb0b7048b4450c" /><Relationship Type="http://schemas.openxmlformats.org/officeDocument/2006/relationships/worksheet" Target="/xl/worksheets/sheet1.xml" Id="R093c6f41f49b4997" /><Relationship Type="http://schemas.openxmlformats.org/officeDocument/2006/relationships/worksheet" Target="/xl/worksheets/sheet2.xml" Id="R4dbd7c141c8148a9" /><Relationship Type="http://schemas.openxmlformats.org/officeDocument/2006/relationships/worksheet" Target="/xl/worksheets/sheet3.xml" Id="Rfbdc6d36a15f42e3" /></Relationships>
</file>

<file path=xl/tables/table1.xml><?xml version="1.0" encoding="utf-8"?>
<x:table xmlns:x="http://schemas.openxmlformats.org/spreadsheetml/2006/main" id="1" name="VideoBacklog" displayName="VideoBacklog" ref="A4:N28" headerRowCount="1" totalsRowCount="0" totalsRowShown="0">
  <x:tableColumns count="14">
    <x:tableColumn id="1" name="ID"/>
    <x:tableColumn id="2" name="段階"/>
    <x:tableColumn id="3" name="公開タイミング"/>
    <x:tableColumn id="4" name="動画名"/>
    <x:tableColumn id="5" name="楽曲／主題"/>
    <x:tableColumn id="6" name="種別"/>
    <x:tableColumn id="7" name="目標尺"/>
    <x:tableColumn id="8" name="母艦比率"/>
    <x:tableColumn id="9" name="派生出力"/>
    <x:tableColumn id="10" name="優先度"/>
    <x:tableColumn id="11" name="必要画像パック"/>
    <x:tableColumn id="12" name="Omniで作る部分"/>
    <x:tableColumn id="13" name="制作判断・ゲート"/>
    <x:tableColumn id="14" name="進捗"/>
  </x:tableColumns>
  <x:tableStyleInfo name="TableStyleMedium2" showFirstColumn="0" showLastColumn="0" showRowStripes="1" showColumnStripes="0"/>
</x:table>
</file>

<file path=xl/tables/table2.xml><?xml version="1.0" encoding="utf-8"?>
<x:table xmlns:x="http://schemas.openxmlformats.org/spreadsheetml/2006/main" id="2" name="ImageAssets" displayName="ImageAssets" ref="A4:N38" headerRowCount="1" totalsRowCount="0" totalsRowShown="0">
  <x:tableColumns count="14">
    <x:tableColumn id="1" name="素材ID"/>
    <x:tableColumn id="2" name="区分"/>
    <x:tableColumn id="3" name="対象"/>
    <x:tableColumn id="4" name="内容"/>
    <x:tableColumn id="5" name="主比率"/>
    <x:tableColumn id="6" name="推奨サイズ"/>
    <x:tableColumn id="7" name="形式"/>
    <x:tableColumn id="8" name="数量"/>
    <x:tableColumn id="9" name="再利用"/>
    <x:tableColumn id="10" name="優先度"/>
    <x:tableColumn id="11" name="使用動画"/>
    <x:tableColumn id="12" name="生成・制作要点"/>
    <x:tableColumn id="13" name="QA"/>
    <x:tableColumn id="14" name="進捗"/>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bb1ea4b9a4b4cc6" /></Relationships>
</file>

<file path=xl/worksheets/_rels/sheet3.xml.rels>&#65279;<?xml version="1.0" encoding="utf-8"?><Relationships xmlns="http://schemas.openxmlformats.org/package/2006/relationships"><Relationship Type="http://schemas.openxmlformats.org/officeDocument/2006/relationships/table" Target="/xl/tables/table2.xml" Id="Rf5d36fa94d8a4a3b" /></Relationships>
</file>

<file path=xl/worksheets/sheet1.xml><?xml version="1.0" encoding="utf-8"?>
<x:worksheet xmlns:x="http://schemas.openxmlformats.org/spreadsheetml/2006/main">
  <x:sheetViews>
    <x:sheetView showGridLines="0" workbookViewId="0"/>
  </x:sheetViews>
  <x:sheetFormatPr defaultRowHeight="15"/>
  <x:cols>
    <x:col min="1" max="1" width="7.78000020980835" hidden="0" customWidth="1"/>
    <x:col min="3" max="3" width="18.329999923706055" hidden="0" customWidth="1"/>
    <x:col min="5" max="5" width="27.780000686645508" hidden="0" customWidth="1"/>
    <x:col min="7" max="7" width="13.329999923706055" hidden="0" customWidth="1"/>
    <x:col min="9" max="9" width="21.110000610351562" hidden="0" customWidth="1"/>
    <x:col min="2" max="2" width="19.440000534057617" hidden="0" customWidth="1"/>
    <x:col min="4" max="4" width="37.779998779296875" hidden="0" customWidth="1"/>
    <x:col min="6" max="6" width="13.329999923706055" hidden="0" customWidth="1"/>
    <x:col min="8" max="8" width="21.110000610351562" hidden="0" customWidth="1"/>
    <x:col min="10" max="10" width="21.110000610351562" hidden="0" customWidth="1"/>
  </x:cols>
  <x:sheetData>
    <x:row r="1" ht="30" customHeight="1">
      <x:c r="A1" s="3" t="str">
        <x:v>IGNITE｜SOLAR VIDEO PRODUCTION PLAN</x:v>
      </x:c>
      <x:c r="B1" s="3"/>
      <x:c r="C1" s="3"/>
      <x:c r="D1" s="3"/>
      <x:c r="E1" s="3"/>
      <x:c r="F1" s="3"/>
      <x:c r="G1" s="3"/>
      <x:c r="H1" s="3"/>
      <x:c r="I1" s="3"/>
      <x:c r="J1" s="3"/>
      <x:c r="K1" s="86"/>
      <x:c r="L1" s="86"/>
      <x:c r="M1" s="86"/>
      <x:c r="N1" s="86"/>
    </x:row>
    <x:row r="2" ht="30" customHeight="1">
      <x:c r="A2" s="87"/>
      <x:c r="B2" s="87"/>
      <x:c r="C2" s="87"/>
      <x:c r="D2" s="87"/>
      <x:c r="E2" s="87"/>
      <x:c r="F2" s="87"/>
      <x:c r="G2" s="87"/>
      <x:c r="H2" s="87"/>
      <x:c r="I2" s="87"/>
      <x:c r="J2" s="87"/>
      <x:c r="K2" s="88"/>
      <x:c r="L2" s="88"/>
      <x:c r="M2" s="88"/>
      <x:c r="N2" s="88"/>
    </x:row>
    <x:row r="3" ht="24" customHeight="1">
      <x:c r="A3" s="6" t="str">
        <x:v>対象：Moonlit期からSOLAR CYCLEへ接続する動画パッケージ　｜　作成日：2026-07-31</x:v>
      </x:c>
      <x:c r="B3" s="6"/>
      <x:c r="C3" s="6"/>
      <x:c r="D3" s="6"/>
      <x:c r="E3" s="6"/>
      <x:c r="F3" s="6"/>
      <x:c r="G3" s="6"/>
      <x:c r="H3" s="6"/>
      <x:c r="I3" s="6"/>
      <x:c r="J3" s="6"/>
    </x:row>
    <x:row r="5">
      <x:c r="A5" s="10" t="str">
        <x:v>計画動画</x:v>
      </x:c>
      <x:c r="B5" s="10"/>
      <x:c r="C5" s="10" t="str">
        <x:v>公開成果物</x:v>
      </x:c>
      <x:c r="D5" s="10"/>
      <x:c r="E5" s="10" t="str">
        <x:v>画像素材</x:v>
      </x:c>
      <x:c r="F5" s="10"/>
      <x:c r="G5" s="10" t="str">
        <x:v>P0・P1画像</x:v>
      </x:c>
      <x:c r="H5" s="10"/>
      <x:c r="I5" s="10" t="str">
        <x:v>P1動画</x:v>
      </x:c>
      <x:c r="J5" s="10"/>
    </x:row>
    <x:row r="6">
      <x:c r="A6" s="25" t="n">
        <x:f>COUNTA('01_動画リスト'!$A$5:$A$28)</x:f>
        <x:v>24</x:v>
      </x:c>
      <x:c r="B6" s="31" t="str">
        <x:v>本</x:v>
      </x:c>
      <x:c r="C6" s="26" t="n">
        <x:f>COUNTA('01_動画リスト'!$A$5:$A$28)-1</x:f>
        <x:v>23</x:v>
      </x:c>
      <x:c r="D6" s="31" t="str">
        <x:v>本</x:v>
      </x:c>
      <x:c r="E6" s="26" t="n">
        <x:f>SUM('02_画像素材'!$H$5:$H$38)</x:f>
        <x:v>136</x:v>
      </x:c>
      <x:c r="F6" s="31" t="str">
        <x:v>枚</x:v>
      </x:c>
      <x:c r="G6" s="26" t="n">
        <x:f>SUMIF('02_画像素材'!$J$5:$J$38,"P0",'02_画像素材'!$H$5:$H$38)+SUMIF('02_画像素材'!$J$5:$J$38,"P1",'02_画像素材'!$H$5:$H$38)</x:f>
        <x:v>68</x:v>
      </x:c>
      <x:c r="H6" s="31" t="str">
        <x:v>枚</x:v>
      </x:c>
      <x:c r="I6" s="26" t="n">
        <x:f>COUNTIF('01_動画リスト'!$J$5:$J$28,"P1")</x:f>
        <x:v>10</x:v>
      </x:c>
      <x:c r="J6" s="33" t="str">
        <x:v>本</x:v>
      </x:c>
    </x:row>
    <x:row r="7">
      <x:c r="A7" s="28"/>
      <x:c r="B7" s="32"/>
      <x:c r="C7" s="29"/>
      <x:c r="D7" s="32"/>
      <x:c r="E7" s="29"/>
      <x:c r="F7" s="32"/>
      <x:c r="G7" s="29"/>
      <x:c r="H7" s="32"/>
      <x:c r="I7" s="29"/>
      <x:c r="J7" s="34"/>
    </x:row>
    <x:row r="9">
      <x:c r="A9" s="36" t="str">
        <x:v>制作手順</x:v>
      </x:c>
      <x:c r="B9" s="36"/>
      <x:c r="C9" s="36"/>
      <x:c r="D9" s="36"/>
      <x:c r="E9" s="36"/>
      <x:c r="F9" s="36"/>
      <x:c r="G9" s="36" t="str">
        <x:v>今回の制作原則</x:v>
      </x:c>
      <x:c r="H9" s="36"/>
      <x:c r="I9" s="36"/>
      <x:c r="J9" s="36"/>
    </x:row>
    <x:row r="10">
      <x:c r="A10" s="47" t="str">
        <x:v>Step</x:v>
      </x:c>
      <x:c r="B10" s="48" t="str">
        <x:v>工程</x:v>
      </x:c>
      <x:c r="C10" s="48" t="str">
        <x:v>入力</x:v>
      </x:c>
      <x:c r="D10" s="48" t="str">
        <x:v>作業</x:v>
      </x:c>
      <x:c r="E10" s="49" t="str">
        <x:v>完了条件</x:v>
      </x:c>
      <x:c r="G10" s="47" t="str">
        <x:v>項目</x:v>
      </x:c>
      <x:c r="H10" s="48" t="str">
        <x:v>判断</x:v>
      </x:c>
      <x:c r="I10" s="48"/>
      <x:c r="J10" s="49"/>
    </x:row>
    <x:row r="11">
      <x:c r="A11" s="60" t="str">
        <x:v>1</x:v>
      </x:c>
      <x:c r="B11" s="57" t="str">
        <x:v>対象を固定</x:v>
      </x:c>
      <x:c r="C11" s="57" t="str">
        <x:v>動画リスト</x:v>
      </x:c>
      <x:c r="D11" s="57" t="str">
        <x:v>公開目的・尺・比率・主役・派生版を決める</x:v>
      </x:c>
      <x:c r="E11" s="57" t="str">
        <x:v>企画変更がショット制作へ逆流しない</x:v>
      </x:c>
      <x:c r="G11" s="57" t="str">
        <x:v>フル尺</x:v>
      </x:c>
      <x:c r="H11" s="57" t="str">
        <x:v>10秒前後の短い生成クリップを編集でつなぐ。曲全体を一発生成しない。</x:v>
      </x:c>
      <x:c r="I11" s="57"/>
      <x:c r="J11" s="57"/>
    </x:row>
    <x:row r="12">
      <x:c r="A12" s="61" t="str">
        <x:v>2</x:v>
      </x:c>
      <x:c r="B12" s="58" t="str">
        <x:v>音源と歌詞を固定</x:v>
      </x:c>
      <x:c r="C12" s="58" t="str">
        <x:v>Suno最終音源／正本歌詞</x:v>
      </x:c>
      <x:c r="D12" s="58" t="str">
        <x:v>BPM・曲尺・歌詞・パート・強調句を確定</x:v>
      </x:c>
      <x:c r="E12" s="58" t="str">
        <x:v>編集用WAVとタイムコード歌詞が揃う</x:v>
      </x:c>
      <x:c r="G12" s="58" t="str">
        <x:v>人物同一性</x:v>
      </x:c>
      <x:c r="H12" s="58" t="str">
        <x:v>同一ショット内の5人を先に検証。場面転換や大きなパンは段階的に増やす。</x:v>
      </x:c>
      <x:c r="I12" s="58"/>
      <x:c r="J12" s="58"/>
    </x:row>
    <x:row r="13">
      <x:c r="A13" s="61" t="str">
        <x:v>3</x:v>
      </x:c>
      <x:c r="B13" s="58" t="str">
        <x:v>参照素材を作る</x:v>
      </x:c>
      <x:c r="C13" s="58" t="str">
        <x:v>R01〜R07</x:v>
      </x:c>
      <x:c r="D13" s="58" t="str">
        <x:v>顔・体格・身長差・衣装・色設計を固定</x:v>
      </x:c>
      <x:c r="E13" s="58" t="str">
        <x:v>YUTO／SHOを含む5人の識別テスト合格</x:v>
      </x:c>
      <x:c r="G13" s="58" t="str">
        <x:v>ダンス</x:v>
      </x:c>
      <x:c r="H13" s="58" t="str">
        <x:v>全身・固定カメラ・2〜4秒の短いフレーズから開始。複雑な群舞はV00合格後。</x:v>
      </x:c>
      <x:c r="I13" s="58"/>
      <x:c r="J13" s="58"/>
    </x:row>
    <x:row r="14">
      <x:c r="A14" s="61" t="str">
        <x:v>4</x:v>
      </x:c>
      <x:c r="B14" s="58" t="str">
        <x:v>ショット表を切る</x:v>
      </x:c>
      <x:c r="C14" s="58" t="str">
        <x:v>楽曲構成／動画尺</x:v>
      </x:c>
      <x:c r="D14" s="58" t="str">
        <x:v>1ショット4〜8秒、最大10秒単位で設計</x:v>
      </x:c>
      <x:c r="E14" s="58" t="str">
        <x:v>各ショットに素材ID・構図・動作が付く</x:v>
      </x:c>
      <x:c r="G14" s="58" t="str">
        <x:v>歌詞・題字</x:v>
      </x:c>
      <x:c r="H14" s="58" t="str">
        <x:v>動画内生成に任せず、最終編集で正本テキストを重ねる。</x:v>
      </x:c>
      <x:c r="I14" s="58"/>
      <x:c r="J14" s="58"/>
    </x:row>
    <x:row r="15">
      <x:c r="A15" s="61" t="str">
        <x:v>5</x:v>
      </x:c>
      <x:c r="B15" s="58" t="str">
        <x:v>始点画像を作る</x:v>
      </x:c>
      <x:c r="C15" s="58" t="str">
        <x:v>画像素材リスト</x:v>
      </x:c>
      <x:c r="D15" s="58" t="str">
        <x:v>16:9基準＋9:16安全域でキーフレーム生成</x:v>
      </x:c>
      <x:c r="E15" s="58" t="str">
        <x:v>顔・手・衣装・人数・位置関係の静止画QA合格</x:v>
      </x:c>
      <x:c r="G15" s="58" t="str">
        <x:v>音</x:v>
      </x:c>
      <x:c r="H15" s="58" t="str">
        <x:v>Sunoの完成音源を最終マスターに使用。生成音声は本番へ混ぜない。</x:v>
      </x:c>
      <x:c r="I15" s="58"/>
      <x:c r="J15" s="58"/>
    </x:row>
    <x:row r="16">
      <x:c r="A16" s="61" t="str">
        <x:v>6</x:v>
      </x:c>
      <x:c r="B16" s="58" t="str">
        <x:v>Omniで動画化</x:v>
      </x:c>
      <x:c r="C16" s="58" t="str">
        <x:v>始点画像／参照画像</x:v>
      </x:c>
      <x:c r="D16" s="58" t="str">
        <x:v>固定カメラから開始し、1カットずつ動きを追加</x:v>
      </x:c>
      <x:c r="E16" s="58" t="str">
        <x:v>採用候補を各ショット2案以上確保</x:v>
      </x:c>
      <x:c r="G16" s="58" t="str">
        <x:v>画角</x:v>
      </x:c>
      <x:c r="H16" s="58" t="str">
        <x:v>YouTube／サイト用16:9を母艦とし、人物を中央9:16安全域にも残す。</x:v>
      </x:c>
      <x:c r="I16" s="58"/>
      <x:c r="J16" s="58"/>
    </x:row>
    <x:row r="17">
      <x:c r="A17" s="61" t="str">
        <x:v>7</x:v>
      </x:c>
      <x:c r="B17" s="58" t="str">
        <x:v>動画クリップQA</x:v>
      </x:c>
      <x:c r="C17" s="58" t="str">
        <x:v>生成クリップ</x:v>
      </x:c>
      <x:c r="D17" s="58" t="str">
        <x:v>同一性・体格・衣装・手足・背景・ちらつきを確認</x:v>
      </x:c>
      <x:c r="E17" s="58" t="str">
        <x:v>重大破綻なし／修正履歴を台帳へ記録</x:v>
      </x:c>
      <x:c r="G17" s="58" t="str">
        <x:v>最初の公開</x:v>
      </x:c>
      <x:c r="H17" s="58" t="str">
        <x:v>V03『MOONLIT TO DAWN』を短い完成品として先に通す。</x:v>
      </x:c>
      <x:c r="I17" s="58"/>
      <x:c r="J17" s="58"/>
    </x:row>
    <x:row r="18">
      <x:c r="A18" s="61" t="str">
        <x:v>8</x:v>
      </x:c>
      <x:c r="B18" s="58" t="str">
        <x:v>編集・字幕</x:v>
      </x:c>
      <x:c r="C18" s="58" t="str">
        <x:v>マスター音源／採用クリップ</x:v>
      </x:c>
      <x:c r="D18" s="58" t="str">
        <x:v>実音源へ同期、静止画パン、色、粒子、歌詞を編集で追加</x:v>
      </x:c>
      <x:c r="E18" s="58" t="str">
        <x:v>歌詞誤字なし／音ズレなし／見せ場が成立</x:v>
      </x:c>
      <x:c r="G18" s="59" t="str">
        <x:v>本命</x:v>
      </x:c>
      <x:c r="H18" s="59" t="str">
        <x:v>V10『SOLAR Official MV』。V00とV03のQA合格後に量産へ入る。</x:v>
      </x:c>
      <x:c r="I18" s="59"/>
      <x:c r="J18" s="59"/>
    </x:row>
    <x:row r="19">
      <x:c r="A19" s="61" t="str">
        <x:v>9</x:v>
      </x:c>
      <x:c r="B19" s="58" t="str">
        <x:v>派生版を書き出す</x:v>
      </x:c>
      <x:c r="C19" s="58" t="str">
        <x:v>16:9マスター</x:v>
      </x:c>
      <x:c r="D19" s="58" t="str">
        <x:v>9:16、サイトループ、サムネイルを作成</x:v>
      </x:c>
      <x:c r="E19" s="58" t="str">
        <x:v>セーフエリア・音量・圧縮・表示QA合格</x:v>
      </x:c>
    </x:row>
    <x:row r="20">
      <x:c r="A20" s="62" t="str">
        <x:v>10</x:v>
      </x:c>
      <x:c r="B20" s="59" t="str">
        <x:v>公開・再利用</x:v>
      </x:c>
      <x:c r="C20" s="59" t="str">
        <x:v>最終動画／画像</x:v>
      </x:c>
      <x:c r="D20" s="59" t="str">
        <x:v>公式サイト、YouTube、SNSへ展開し素材IDを維持</x:v>
      </x:c>
      <x:c r="E20" s="59" t="str">
        <x:v>次動画で参照素材を再利用できる</x:v>
      </x:c>
    </x:row>
    <x:row r="22">
      <x:c r="A22" s="36" t="str">
        <x:v>出力仕様とゲート</x:v>
      </x:c>
      <x:c r="B22" s="36"/>
      <x:c r="C22" s="36"/>
      <x:c r="D22" s="36"/>
      <x:c r="E22" s="36"/>
      <x:c r="F22" s="36"/>
      <x:c r="G22" s="36" t="str">
        <x:v>参照した公式情報（2026-07-31時点）</x:v>
      </x:c>
      <x:c r="H22" s="36"/>
      <x:c r="I22" s="36"/>
      <x:c r="J22" s="36"/>
    </x:row>
    <x:row r="23">
      <x:c r="A23" s="47" t="str">
        <x:v>用途</x:v>
      </x:c>
      <x:c r="B23" s="48" t="str">
        <x:v>比率</x:v>
      </x:c>
      <x:c r="C23" s="48" t="str">
        <x:v>推奨サイズ</x:v>
      </x:c>
      <x:c r="D23" s="48" t="str">
        <x:v>音声</x:v>
      </x:c>
      <x:c r="E23" s="49" t="str">
        <x:v>備考</x:v>
      </x:c>
      <x:c r="G23" s="57" t="str">
        <x:v>Gemini Omni prompt guide</x:v>
      </x:c>
      <x:c r="H23" s="57" t="str">
        <x:v>https://deepmind.google/models/gemini-omni/prompt-guide/</x:v>
      </x:c>
      <x:c r="I23" s="57"/>
      <x:c r="J23" s="57"/>
    </x:row>
    <x:row r="24">
      <x:c r="A24" s="57" t="str">
        <x:v>YouTube／公式サイト本編</x:v>
      </x:c>
      <x:c r="B24" s="57" t="str">
        <x:v>16:9</x:v>
      </x:c>
      <x:c r="C24" s="57" t="str">
        <x:v>1920×1080以上</x:v>
      </x:c>
      <x:c r="D24" s="57" t="str">
        <x:v>完成音源</x:v>
      </x:c>
      <x:c r="E24" s="57" t="str">
        <x:v>字幕は編集で焼き込み／字幕ファイルも別管理</x:v>
      </x:c>
      <x:c r="G24" s="58" t="str">
        <x:v>Gemini Omni Flash model card</x:v>
      </x:c>
      <x:c r="H24" s="58" t="str">
        <x:v>https://deepmind.google/models/model-cards/gemini-omni-flash/</x:v>
      </x:c>
      <x:c r="I24" s="58"/>
      <x:c r="J24" s="58"/>
    </x:row>
    <x:row r="25">
      <x:c r="A25" s="58" t="str">
        <x:v>SNS縦型</x:v>
      </x:c>
      <x:c r="B25" s="58" t="str">
        <x:v>9:16</x:v>
      </x:c>
      <x:c r="C25" s="58" t="str">
        <x:v>1080×1920</x:v>
      </x:c>
      <x:c r="D25" s="58" t="str">
        <x:v>完成音源</x:v>
      </x:c>
      <x:c r="E25" s="58" t="str">
        <x:v>主要人物・文字を中央80％内へ</x:v>
      </x:c>
      <x:c r="G25" s="58" t="str">
        <x:v>Omni Flash developer release</x:v>
      </x:c>
      <x:c r="H25" s="58" t="str">
        <x:v>https://deepmind.google/blog/start-building-with-nano-banana-2-lite-and-gemini-omni-flash/</x:v>
      </x:c>
      <x:c r="I25" s="58"/>
      <x:c r="J25" s="58"/>
    </x:row>
    <x:row r="26">
      <x:c r="A26" s="58" t="str">
        <x:v>サイトHero loop</x:v>
      </x:c>
      <x:c r="B26" s="58" t="str">
        <x:v>16:9／3:4</x:v>
      </x:c>
      <x:c r="C26" s="58" t="str">
        <x:v>1920×1080／1080×1440</x:v>
      </x:c>
      <x:c r="D26" s="58" t="str">
        <x:v>無音</x:v>
      </x:c>
      <x:c r="E26" s="58" t="str">
        <x:v>6〜10秒、自然なループ、軽量MP4/WebM</x:v>
      </x:c>
      <x:c r="G26" s="59" t="str">
        <x:v>企画資料</x:v>
      </x:c>
      <x:c r="H26" s="59" t="str">
        <x:v>1st-album-SOLAR.md／04-Moonlit.md／world-v02.md／公式サイト素材管理表</x:v>
      </x:c>
      <x:c r="I26" s="59"/>
      <x:c r="J26" s="59"/>
    </x:row>
    <x:row r="27">
      <x:c r="A27" s="58" t="str">
        <x:v>サムネイル</x:v>
      </x:c>
      <x:c r="B27" s="58" t="str">
        <x:v>16:9</x:v>
      </x:c>
      <x:c r="C27" s="58" t="str">
        <x:v>1280×720以上</x:v>
      </x:c>
      <x:c r="D27" s="58" t="str">
        <x:v>—</x:v>
      </x:c>
      <x:c r="E27" s="58" t="str">
        <x:v>動画フレーム任せにせず専用静止画を作る</x:v>
      </x:c>
    </x:row>
    <x:row r="28">
      <x:c r="A28" s="58" t="str">
        <x:v>ゲートA</x:v>
      </x:c>
      <x:c r="B28" s="58" t="str">
        <x:v>—</x:v>
      </x:c>
      <x:c r="C28" s="58" t="str">
        <x:v>V00</x:v>
      </x:c>
      <x:c r="D28" s="58" t="str">
        <x:v>—</x:v>
      </x:c>
      <x:c r="E28" s="58" t="str">
        <x:v>5人の識別・体格・衣装を10秒維持</x:v>
      </x:c>
    </x:row>
    <x:row r="29">
      <x:c r="A29" s="58" t="str">
        <x:v>ゲートB</x:v>
      </x:c>
      <x:c r="B29" s="58" t="str">
        <x:v>—</x:v>
      </x:c>
      <x:c r="C29" s="58" t="str">
        <x:v>V03</x:v>
      </x:c>
      <x:c r="D29" s="58" t="str">
        <x:v>—</x:v>
      </x:c>
      <x:c r="E29" s="58" t="str">
        <x:v>15秒の完成工程を一度通し、字幕・書出しまで検証</x:v>
      </x:c>
    </x:row>
    <x:row r="30">
      <x:c r="A30" s="59" t="str">
        <x:v>ゲートC</x:v>
      </x:c>
      <x:c r="B30" s="59" t="str">
        <x:v>—</x:v>
      </x:c>
      <x:c r="C30" s="59" t="str">
        <x:v>V10</x:v>
      </x:c>
      <x:c r="D30" s="59" t="str">
        <x:v>—</x:v>
      </x:c>
      <x:c r="E30" s="59" t="str">
        <x:v>本命MV量産前に30秒の仮編集をレビュー</x:v>
      </x:c>
    </x:row>
    <x:row r="32">
      <x:c r="A32" s="77" t="str">
        <x:v>注意：画像素材数は「参照シート・キーフレーム・背景・グラフィック」の最大見積り。採用画像の再利用と差分編集により、実際の新規生成数は減らせます。</x:v>
      </x:c>
      <x:c r="B32" s="78"/>
      <x:c r="C32" s="78"/>
      <x:c r="D32" s="78"/>
      <x:c r="E32" s="78"/>
      <x:c r="F32" s="78"/>
      <x:c r="G32" s="78"/>
      <x:c r="H32" s="78"/>
      <x:c r="I32" s="78"/>
      <x:c r="J32" s="79"/>
    </x:row>
    <x:row r="33">
      <x:c r="A33" s="80"/>
      <x:c r="B33" s="81"/>
      <x:c r="C33" s="81"/>
      <x:c r="D33" s="81"/>
      <x:c r="E33" s="81"/>
      <x:c r="F33" s="81"/>
      <x:c r="G33" s="81"/>
      <x:c r="H33" s="81"/>
      <x:c r="I33" s="81"/>
      <x:c r="J33" s="82"/>
    </x:row>
  </x:sheetData>
  <x:mergeCells>
    <x:mergeCell ref="A1:J2"/>
    <x:mergeCell ref="A3:J3"/>
    <x:mergeCell ref="B6:B7"/>
    <x:mergeCell ref="D6:D7"/>
    <x:mergeCell ref="F6:F7"/>
    <x:mergeCell ref="H6:H7"/>
    <x:mergeCell ref="J6:J7"/>
    <x:mergeCell ref="A9:J9"/>
    <x:mergeCell ref="G9:J9"/>
    <x:mergeCell ref="H10:J10"/>
    <x:mergeCell ref="H11:J11"/>
    <x:mergeCell ref="H12:J12"/>
    <x:mergeCell ref="H13:J13"/>
    <x:mergeCell ref="H14:J14"/>
    <x:mergeCell ref="H15:J15"/>
    <x:mergeCell ref="H16:J16"/>
    <x:mergeCell ref="H17:J17"/>
    <x:mergeCell ref="H18:J18"/>
    <x:mergeCell ref="A22:J22"/>
    <x:mergeCell ref="G22:J22"/>
    <x:mergeCell ref="H23:J23"/>
    <x:mergeCell ref="H24:J24"/>
    <x:mergeCell ref="H25:J25"/>
    <x:mergeCell ref="H26:J26"/>
    <x:mergeCell ref="A32:J3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110000133514404" hidden="0" customWidth="1"/>
    <x:col min="2" max="2" width="10" hidden="0" customWidth="1"/>
    <x:col min="3" max="3" width="11.670000076293945" hidden="0" customWidth="1"/>
    <x:col min="4" max="4" width="25.559999465942383" hidden="0" customWidth="1"/>
    <x:col min="5" max="5" width="16.110000610351562" hidden="0" customWidth="1"/>
    <x:col min="6" max="6" width="16.110000610351562" hidden="0" customWidth="1"/>
    <x:col min="7" max="7" width="10.5600004196167" hidden="0" customWidth="1"/>
    <x:col min="8" max="8" width="8.329999923706055" hidden="0" customWidth="1"/>
    <x:col min="9" max="9" width="19.440000534057617" hidden="0" customWidth="1"/>
    <x:col min="10" max="10" width="7.21999979019165" hidden="0" customWidth="1"/>
    <x:col min="11" max="11" width="23.889999389648438" hidden="0" customWidth="1"/>
    <x:col min="12" max="12" width="38.88999938964844" hidden="0" customWidth="1"/>
    <x:col min="13" max="13" width="38.88999938964844" hidden="0" customWidth="1"/>
    <x:col min="14" max="14" width="10" hidden="0" customWidth="1"/>
  </x:cols>
  <x:sheetData>
    <x:row r="1">
      <x:c r="A1" s="3" t="str">
        <x:v>作成予定動画リスト</x:v>
      </x:c>
      <x:c r="B1" s="3"/>
      <x:c r="C1" s="3"/>
      <x:c r="D1" s="3"/>
      <x:c r="E1" s="3"/>
      <x:c r="F1" s="3"/>
      <x:c r="G1" s="3"/>
      <x:c r="H1" s="3"/>
      <x:c r="I1" s="3"/>
      <x:c r="J1" s="3"/>
      <x:c r="K1" s="3"/>
      <x:c r="L1" s="3"/>
      <x:c r="M1" s="3"/>
      <x:c r="N1" s="3"/>
    </x:row>
    <x:row r="2">
      <x:c r="A2" s="87"/>
      <x:c r="B2" s="87"/>
      <x:c r="C2" s="87"/>
      <x:c r="D2" s="87"/>
      <x:c r="E2" s="87"/>
      <x:c r="F2" s="87"/>
      <x:c r="G2" s="87"/>
      <x:c r="H2" s="87"/>
      <x:c r="I2" s="87"/>
      <x:c r="J2" s="87"/>
      <x:c r="K2" s="87"/>
      <x:c r="L2" s="87"/>
      <x:c r="M2" s="87"/>
      <x:c r="N2" s="87"/>
    </x:row>
    <x:row r="3">
      <x:c r="A3" s="6" t="str">
        <x:v>優先度：P0＝技術検証／P1＝Moonlit→SOLARの公開必須／P2＝発売期／P3＝発売後</x:v>
      </x:c>
      <x:c r="B3" s="6"/>
      <x:c r="C3" s="6"/>
      <x:c r="D3" s="6"/>
      <x:c r="E3" s="6"/>
      <x:c r="F3" s="6"/>
      <x:c r="G3" s="6"/>
      <x:c r="H3" s="6"/>
      <x:c r="I3" s="6"/>
      <x:c r="J3" s="6"/>
      <x:c r="K3" s="6"/>
      <x:c r="L3" s="6"/>
      <x:c r="M3" s="6"/>
      <x:c r="N3" s="6"/>
    </x:row>
    <x:row r="4">
      <x:c r="A4" s="47" t="str">
        <x:v>ID</x:v>
      </x:c>
      <x:c r="B4" s="48" t="str">
        <x:v>段階</x:v>
      </x:c>
      <x:c r="C4" s="48" t="str">
        <x:v>公開タイミング</x:v>
      </x:c>
      <x:c r="D4" s="48" t="str">
        <x:v>動画名</x:v>
      </x:c>
      <x:c r="E4" s="48" t="str">
        <x:v>楽曲／主題</x:v>
      </x:c>
      <x:c r="F4" s="48" t="str">
        <x:v>種別</x:v>
      </x:c>
      <x:c r="G4" s="48" t="str">
        <x:v>目標尺</x:v>
      </x:c>
      <x:c r="H4" s="48" t="str">
        <x:v>母艦比率</x:v>
      </x:c>
      <x:c r="I4" s="48" t="str">
        <x:v>派生出力</x:v>
      </x:c>
      <x:c r="J4" s="48" t="str">
        <x:v>優先度</x:v>
      </x:c>
      <x:c r="K4" s="48" t="str">
        <x:v>必要画像パック</x:v>
      </x:c>
      <x:c r="L4" s="48" t="str">
        <x:v>Omniで作る部分</x:v>
      </x:c>
      <x:c r="M4" s="48" t="str">
        <x:v>制作判断・ゲート</x:v>
      </x:c>
      <x:c r="N4" s="49" t="str">
        <x:v>進捗</x:v>
      </x:c>
    </x:row>
    <x:row r="5" ht="46.5" customHeight="1">
      <x:c r="A5" s="60" t="str">
        <x:v>V00</x:v>
      </x:c>
      <x:c r="B5" s="57" t="str">
        <x:v>技術検証</x:v>
      </x:c>
      <x:c r="C5" s="57" t="str">
        <x:v>非公開</x:v>
      </x:c>
      <x:c r="D5" s="57" t="str">
        <x:v>5 MEMBER CONSISTENCY TEST</x:v>
      </x:c>
      <x:c r="E5" s="57" t="str">
        <x:v>5人の同一性</x:v>
      </x:c>
      <x:c r="F5" s="57" t="str">
        <x:v>Motion Test</x:v>
      </x:c>
      <x:c r="G5" s="60" t="str">
        <x:v>10秒</x:v>
      </x:c>
      <x:c r="H5" s="60" t="str">
        <x:v>16:9</x:v>
      </x:c>
      <x:c r="I5" s="60" t="str">
        <x:v>9:16確認用</x:v>
      </x:c>
      <x:c r="J5" s="60" t="str">
        <x:v>P0</x:v>
      </x:c>
      <x:c r="K5" s="57" t="str">
        <x:v>R01–R07／S03</x:v>
      </x:c>
      <x:c r="L5" s="57" t="str">
        <x:v>固定ワイド→YUTO・SHOの短い寄り</x:v>
      </x:c>
      <x:c r="M5" s="57" t="str">
        <x:v>顔・身長差・体格・衣装を維持できれば合格</x:v>
      </x:c>
      <x:c r="N5" s="57" t="str">
        <x:v>最初に着手</x:v>
      </x:c>
    </x:row>
    <x:row r="6" ht="46.5" customHeight="1">
      <x:c r="A6" s="61" t="str">
        <x:v>V01</x:v>
      </x:c>
      <x:c r="B6" s="58" t="str">
        <x:v>先行整備</x:v>
      </x:c>
      <x:c r="C6" s="58" t="str">
        <x:v>Moonlit公開</x:v>
      </x:c>
      <x:c r="D6" s="58" t="str">
        <x:v>Moonlit Official Lyric MV</x:v>
      </x:c>
      <x:c r="E6" s="58" t="str">
        <x:v>Moonlit</x:v>
      </x:c>
      <x:c r="F6" s="58" t="str">
        <x:v>Hybrid Lyric MV</x:v>
      </x:c>
      <x:c r="G6" s="61" t="str">
        <x:v>楽曲フル尺</x:v>
      </x:c>
      <x:c r="H6" s="61" t="str">
        <x:v>16:9</x:v>
      </x:c>
      <x:c r="I6" s="61" t="str">
        <x:v>9:16サビ30秒／Hero loop</x:v>
      </x:c>
      <x:c r="J6" s="61" t="str">
        <x:v>P1</x:v>
      </x:c>
      <x:c r="K6" s="58" t="str">
        <x:v>R01／R02／R04–R07／M01／FX01</x:v>
      </x:c>
      <x:c r="L6" s="58" t="str">
        <x:v>静かな歩行、呼吸、月光、指先、鏡越しの視線</x:v>
      </x:c>
      <x:c r="M6" s="58" t="str">
        <x:v>歌詞は編集で追加。大きな群舞は入れない</x:v>
      </x:c>
      <x:c r="N6" s="58" t="str">
        <x:v>企画</x:v>
      </x:c>
    </x:row>
    <x:row r="7" ht="46.5" customHeight="1">
      <x:c r="A7" s="61" t="str">
        <x:v>V02</x:v>
      </x:c>
      <x:c r="B7" s="58" t="str">
        <x:v>先行整備</x:v>
      </x:c>
      <x:c r="C7" s="58" t="str">
        <x:v>Moonlit公開</x:v>
      </x:c>
      <x:c r="D7" s="58" t="str">
        <x:v>Between the Lights Visualizer</x:v>
      </x:c>
      <x:c r="E7" s="58" t="str">
        <x:v>Between the Lights</x:v>
      </x:c>
      <x:c r="F7" s="58" t="str">
        <x:v>Narrative Visualizer</x:v>
      </x:c>
      <x:c r="G7" s="61" t="str">
        <x:v>楽曲フル尺</x:v>
      </x:c>
      <x:c r="H7" s="61" t="str">
        <x:v>16:9</x:v>
      </x:c>
      <x:c r="I7" s="61" t="str">
        <x:v>9:16 30秒</x:v>
      </x:c>
      <x:c r="J7" s="61" t="str">
        <x:v>P1</x:v>
      </x:c>
      <x:c r="K7" s="58" t="str">
        <x:v>R01／R02／R04–R06／B01／FX01</x:v>
      </x:c>
      <x:c r="L7" s="58" t="str">
        <x:v>街灯の下を遠回りする5人、悪戯っぽい小動作</x:v>
      </x:c>
      <x:c r="M7" s="58" t="str">
        <x:v>明るい夜。Moonlitとの差を色温度とテンポで明確化</x:v>
      </x:c>
      <x:c r="N7" s="58" t="str">
        <x:v>企画</x:v>
      </x:c>
    </x:row>
    <x:row r="8" ht="46.5" customHeight="1">
      <x:c r="A8" s="61" t="str">
        <x:v>V03</x:v>
      </x:c>
      <x:c r="B8" s="58" t="str">
        <x:v>移行</x:v>
      </x:c>
      <x:c r="C8" s="58" t="str">
        <x:v>Moonlit終了時</x:v>
      </x:c>
      <x:c r="D8" s="58" t="str">
        <x:v>MOONLIT TO DAWN</x:v>
      </x:c>
      <x:c r="E8" s="58" t="str">
        <x:v>Moonlit→SOLAR</x:v>
      </x:c>
      <x:c r="F8" s="58" t="str">
        <x:v>Transition Teaser</x:v>
      </x:c>
      <x:c r="G8" s="61" t="str">
        <x:v>15秒</x:v>
      </x:c>
      <x:c r="H8" s="61" t="str">
        <x:v>16:9</x:v>
      </x:c>
      <x:c r="I8" s="61" t="str">
        <x:v>9:16／Hero loop</x:v>
      </x:c>
      <x:c r="J8" s="61" t="str">
        <x:v>P1</x:v>
      </x:c>
      <x:c r="K8" s="58" t="str">
        <x:v>M01／T01／S01／GFX02</x:v>
      </x:c>
      <x:c r="L8" s="58" t="str">
        <x:v>青紫の夜が白金の夜明けへ変わる2〜3カット</x:v>
      </x:c>
      <x:c r="M8" s="58" t="str">
        <x:v>最初の公開完成品。ここで工程全体を検証</x:v>
      </x:c>
      <x:c r="N8" s="58" t="str">
        <x:v>企画</x:v>
      </x:c>
    </x:row>
    <x:row r="9" ht="46.5" customHeight="1">
      <x:c r="A9" s="61" t="str">
        <x:v>V04</x:v>
      </x:c>
      <x:c r="B9" s="58" t="str">
        <x:v>FIVE HOURS</x:v>
      </x:c>
      <x:c r="C9" s="58" t="str">
        <x:v>順次公開1</x:v>
      </x:c>
      <x:c r="D9" s="58" t="str">
        <x:v>YUTO — BEFORE DAWN</x:v>
      </x:c>
      <x:c r="E9" s="58" t="str">
        <x:v>夜明け前／Deep Blue</x:v>
      </x:c>
      <x:c r="F9" s="58" t="str">
        <x:v>Member Teaser</x:v>
      </x:c>
      <x:c r="G9" s="61" t="str">
        <x:v>15秒</x:v>
      </x:c>
      <x:c r="H9" s="61" t="str">
        <x:v>9:16</x:v>
      </x:c>
      <x:c r="I9" s="61" t="str">
        <x:v>16:9まとめ用</x:v>
      </x:c>
      <x:c r="J9" s="61" t="str">
        <x:v>P1</x:v>
      </x:c>
      <x:c r="K9" s="58" t="str">
        <x:v>R01–R03／H01</x:v>
      </x:c>
      <x:c r="L9" s="58" t="str">
        <x:v>静かな目線、息、薄明の光</x:v>
      </x:c>
      <x:c r="M9" s="58" t="str">
        <x:v>YUTOとSHOの描き分けを最優先</x:v>
      </x:c>
      <x:c r="N9" s="58" t="str">
        <x:v>企画</x:v>
      </x:c>
    </x:row>
    <x:row r="10" ht="46.5" customHeight="1">
      <x:c r="A10" s="61" t="str">
        <x:v>V05</x:v>
      </x:c>
      <x:c r="B10" s="58" t="str">
        <x:v>FIVE HOURS</x:v>
      </x:c>
      <x:c r="C10" s="58" t="str">
        <x:v>順次公開2</x:v>
      </x:c>
      <x:c r="D10" s="58" t="str">
        <x:v>REN — SUNRISE</x:v>
      </x:c>
      <x:c r="E10" s="58" t="str">
        <x:v>朝日／Gold</x:v>
      </x:c>
      <x:c r="F10" s="58" t="str">
        <x:v>Member Teaser</x:v>
      </x:c>
      <x:c r="G10" s="61" t="str">
        <x:v>15秒</x:v>
      </x:c>
      <x:c r="H10" s="61" t="str">
        <x:v>9:16</x:v>
      </x:c>
      <x:c r="I10" s="61" t="str">
        <x:v>16:9まとめ用</x:v>
      </x:c>
      <x:c r="J10" s="61" t="str">
        <x:v>P1</x:v>
      </x:c>
      <x:c r="K10" s="58" t="str">
        <x:v>R01–R03／H02</x:v>
      </x:c>
      <x:c r="L10" s="58" t="str">
        <x:v>光を受ける横顔、歌い出す直前の呼吸</x:v>
      </x:c>
      <x:c r="M10" s="58" t="str">
        <x:v>口パクより歌唱前後の表情を使う</x:v>
      </x:c>
      <x:c r="N10" s="58" t="str">
        <x:v>企画</x:v>
      </x:c>
    </x:row>
    <x:row r="11" ht="46.5" customHeight="1">
      <x:c r="A11" s="61" t="str">
        <x:v>V06</x:v>
      </x:c>
      <x:c r="B11" s="58" t="str">
        <x:v>FIVE HOURS</x:v>
      </x:c>
      <x:c r="C11" s="58" t="str">
        <x:v>順次公開3</x:v>
      </x:c>
      <x:c r="D11" s="58" t="str">
        <x:v>LEO — HIGH NOON</x:v>
      </x:c>
      <x:c r="E11" s="58" t="str">
        <x:v>真昼／Orange</x:v>
      </x:c>
      <x:c r="F11" s="58" t="str">
        <x:v>Member Teaser</x:v>
      </x:c>
      <x:c r="G11" s="61" t="str">
        <x:v>15秒</x:v>
      </x:c>
      <x:c r="H11" s="61" t="str">
        <x:v>9:16</x:v>
      </x:c>
      <x:c r="I11" s="61" t="str">
        <x:v>16:9まとめ用</x:v>
      </x:c>
      <x:c r="J11" s="61" t="str">
        <x:v>P1</x:v>
      </x:c>
      <x:c r="K11" s="58" t="str">
        <x:v>R01–R03／H03</x:v>
      </x:c>
      <x:c r="L11" s="58" t="str">
        <x:v>強い日差し、軽いターン、笑顔</x:v>
      </x:c>
      <x:c r="M11" s="58" t="str">
        <x:v>陽性だが安価な夏CMに寄せない</x:v>
      </x:c>
      <x:c r="N11" s="58" t="str">
        <x:v>企画</x:v>
      </x:c>
    </x:row>
    <x:row r="12" ht="46.5" customHeight="1">
      <x:c r="A12" s="61" t="str">
        <x:v>V07</x:v>
      </x:c>
      <x:c r="B12" s="58" t="str">
        <x:v>FIVE HOURS</x:v>
      </x:c>
      <x:c r="C12" s="58" t="str">
        <x:v>順次公開4</x:v>
      </x:c>
      <x:c r="D12" s="58" t="str">
        <x:v>KAI — GOLDEN HOUR</x:v>
      </x:c>
      <x:c r="E12" s="58" t="str">
        <x:v>夕暮れ／Crimson</x:v>
      </x:c>
      <x:c r="F12" s="58" t="str">
        <x:v>Member Teaser</x:v>
      </x:c>
      <x:c r="G12" s="61" t="str">
        <x:v>15秒</x:v>
      </x:c>
      <x:c r="H12" s="61" t="str">
        <x:v>9:16</x:v>
      </x:c>
      <x:c r="I12" s="61" t="str">
        <x:v>16:9まとめ用</x:v>
      </x:c>
      <x:c r="J12" s="61" t="str">
        <x:v>P1</x:v>
      </x:c>
      <x:c r="K12" s="58" t="str">
        <x:v>R01–R03／H04</x:v>
      </x:c>
      <x:c r="L12" s="58" t="str">
        <x:v>長い影、歩行、ジャケットを整える手</x:v>
      </x:c>
      <x:c r="M12" s="58" t="str">
        <x:v>炎より夕日の赤で熱量を出す</x:v>
      </x:c>
      <x:c r="N12" s="58" t="str">
        <x:v>企画</x:v>
      </x:c>
    </x:row>
    <x:row r="13" ht="46.5" customHeight="1">
      <x:c r="A13" s="61" t="str">
        <x:v>V08</x:v>
      </x:c>
      <x:c r="B13" s="58" t="str">
        <x:v>FIVE HOURS</x:v>
      </x:c>
      <x:c r="C13" s="58" t="str">
        <x:v>順次公開5</x:v>
      </x:c>
      <x:c r="D13" s="58" t="str">
        <x:v>SHO — NIGHT</x:v>
      </x:c>
      <x:c r="E13" s="58" t="str">
        <x:v>夜／Purple</x:v>
      </x:c>
      <x:c r="F13" s="58" t="str">
        <x:v>Member Teaser</x:v>
      </x:c>
      <x:c r="G13" s="61" t="str">
        <x:v>15秒</x:v>
      </x:c>
      <x:c r="H13" s="61" t="str">
        <x:v>9:16</x:v>
      </x:c>
      <x:c r="I13" s="61" t="str">
        <x:v>16:9まとめ用</x:v>
      </x:c>
      <x:c r="J13" s="61" t="str">
        <x:v>P1</x:v>
      </x:c>
      <x:c r="K13" s="58" t="str">
        <x:v>R01–R03／H05</x:v>
      </x:c>
      <x:c r="L13" s="58" t="str">
        <x:v>固定カメラの短い身体表現、暗転</x:v>
      </x:c>
      <x:c r="M13" s="58" t="str">
        <x:v>動きは正確に短く。YUTOの顔へ寄せない</x:v>
      </x:c>
      <x:c r="N13" s="58" t="str">
        <x:v>企画</x:v>
      </x:c>
    </x:row>
    <x:row r="14" ht="46.5" customHeight="1">
      <x:c r="A14" s="61" t="str">
        <x:v>V09</x:v>
      </x:c>
      <x:c r="B14" s="58" t="str">
        <x:v>FIVE HOURS</x:v>
      </x:c>
      <x:c r="C14" s="58" t="str">
        <x:v>5人公開後</x:v>
      </x:c>
      <x:c r="D14" s="58" t="str">
        <x:v>FIVE HOURS / ALBUM REVEAL</x:v>
      </x:c>
      <x:c r="E14" s="58" t="str">
        <x:v>一日の光／5人</x:v>
      </x:c>
      <x:c r="F14" s="58" t="str">
        <x:v>Reveal Film</x:v>
      </x:c>
      <x:c r="G14" s="61" t="str">
        <x:v>30秒</x:v>
      </x:c>
      <x:c r="H14" s="61" t="str">
        <x:v>16:9</x:v>
      </x:c>
      <x:c r="I14" s="61" t="str">
        <x:v>9:16</x:v>
      </x:c>
      <x:c r="J14" s="61" t="str">
        <x:v>P1</x:v>
      </x:c>
      <x:c r="K14" s="58" t="str">
        <x:v>H01–H06／GFX02–GFX03</x:v>
      </x:c>
      <x:c r="L14" s="58" t="str">
        <x:v>5人の時間帯を連結し最後に白金へ統合</x:v>
      </x:c>
      <x:c r="M14" s="58" t="str">
        <x:v>タイトル・発売日は編集で正確に表示</x:v>
      </x:c>
      <x:c r="N14" s="58" t="str">
        <x:v>企画</x:v>
      </x:c>
    </x:row>
    <x:row r="15" ht="46.5" customHeight="1">
      <x:c r="A15" s="61" t="str">
        <x:v>V10</x:v>
      </x:c>
      <x:c r="B15" s="58" t="str">
        <x:v>HIGH NOON</x:v>
      </x:c>
      <x:c r="C15" s="58" t="str">
        <x:v>発売約2週前</x:v>
      </x:c>
      <x:c r="D15" s="58" t="str">
        <x:v>SOLAR Official MV</x:v>
      </x:c>
      <x:c r="E15" s="58" t="str">
        <x:v>SOLAR</x:v>
      </x:c>
      <x:c r="F15" s="58" t="str">
        <x:v>Hybrid Official MV</x:v>
      </x:c>
      <x:c r="G15" s="61" t="str">
        <x:v>楽曲フル尺</x:v>
      </x:c>
      <x:c r="H15" s="61" t="str">
        <x:v>16:9</x:v>
      </x:c>
      <x:c r="I15" s="61" t="str">
        <x:v>9:16 15秒・30秒／Hero loop</x:v>
      </x:c>
      <x:c r="J15" s="61" t="str">
        <x:v>P1</x:v>
      </x:c>
      <x:c r="K15" s="58" t="str">
        <x:v>R01–R03／R05–R07／H01–H06／S01／S03／FX01</x:v>
      </x:c>
      <x:c r="L15" s="58" t="str">
        <x:v>4〜8秒の短いカットを20〜30本。日照の変化を軸にする</x:v>
      </x:c>
      <x:c r="M15" s="58" t="str">
        <x:v>V00・V03合格後。まず30秒仮編集をレビュー</x:v>
      </x:c>
      <x:c r="N15" s="58" t="str">
        <x:v>企画</x:v>
      </x:c>
    </x:row>
    <x:row r="16" ht="46.5" customHeight="1">
      <x:c r="A16" s="61" t="str">
        <x:v>V11</x:v>
      </x:c>
      <x:c r="B16" s="58" t="str">
        <x:v>HIGH NOON</x:v>
      </x:c>
      <x:c r="C16" s="58" t="str">
        <x:v>MV公開後</x:v>
      </x:c>
      <x:c r="D16" s="58" t="str">
        <x:v>SOLAR Performance Film</x:v>
      </x:c>
      <x:c r="E16" s="58" t="str">
        <x:v>SOLAR／SHO中心</x:v>
      </x:c>
      <x:c r="F16" s="58" t="str">
        <x:v>Performance Highlight</x:v>
      </x:c>
      <x:c r="G16" s="61" t="str">
        <x:v>60〜90秒</x:v>
      </x:c>
      <x:c r="H16" s="61" t="str">
        <x:v>16:9</x:v>
      </x:c>
      <x:c r="I16" s="61" t="str">
        <x:v>9:16ダンス抜粋</x:v>
      </x:c>
      <x:c r="J16" s="61" t="str">
        <x:v>P2</x:v>
      </x:c>
      <x:c r="K16" s="58" t="str">
        <x:v>R01–R03／R05／S03</x:v>
      </x:c>
      <x:c r="L16" s="58" t="str">
        <x:v>固定ワイド、短い全身フレーズ、足元・肩・手の寄り</x:v>
      </x:c>
      <x:c r="M16" s="58" t="str">
        <x:v>最初からフル尺群舞を狙わない</x:v>
      </x:c>
      <x:c r="N16" s="58" t="str">
        <x:v>保留</x:v>
      </x:c>
    </x:row>
    <x:row r="17" ht="46.5" customHeight="1">
      <x:c r="A17" s="61" t="str">
        <x:v>V12</x:v>
      </x:c>
      <x:c r="B17" s="58" t="str">
        <x:v>HIGH NOON</x:v>
      </x:c>
      <x:c r="C17" s="58" t="str">
        <x:v>MV公開週</x:v>
      </x:c>
      <x:c r="D17" s="58" t="str">
        <x:v>REN Studio Clip</x:v>
      </x:c>
      <x:c r="E17" s="58" t="str">
        <x:v>SOLAR／REN</x:v>
      </x:c>
      <x:c r="F17" s="58" t="str">
        <x:v>Studio Clip</x:v>
      </x:c>
      <x:c r="G17" s="61" t="str">
        <x:v>30〜45秒</x:v>
      </x:c>
      <x:c r="H17" s="61" t="str">
        <x:v>16:9</x:v>
      </x:c>
      <x:c r="I17" s="61" t="str">
        <x:v>9:16</x:v>
      </x:c>
      <x:c r="J17" s="61" t="str">
        <x:v>P2</x:v>
      </x:c>
      <x:c r="K17" s="58" t="str">
        <x:v>R01／R03／ST01</x:v>
      </x:c>
      <x:c r="L17" s="58" t="str">
        <x:v>レコーディング前後、譜面、マイク、呼吸</x:v>
      </x:c>
      <x:c r="M17" s="58" t="str">
        <x:v>合成口パクに頼らず歌の直前・直後を撮る</x:v>
      </x:c>
      <x:c r="N17" s="58" t="str">
        <x:v>企画</x:v>
      </x:c>
    </x:row>
    <x:row r="18" ht="46.5" customHeight="1">
      <x:c r="A18" s="61" t="str">
        <x:v>V13</x:v>
      </x:c>
      <x:c r="B18" s="58" t="str">
        <x:v>HIGH NOON</x:v>
      </x:c>
      <x:c r="C18" s="58" t="str">
        <x:v>発売前週</x:v>
      </x:c>
      <x:c r="D18" s="58" t="str">
        <x:v>SUMMER FESTIVAL REHEARSAL</x:v>
      </x:c>
      <x:c r="E18" s="58" t="str">
        <x:v>SOLAR／Heatwave</x:v>
      </x:c>
      <x:c r="F18" s="58" t="str">
        <x:v>Rehearsal Film</x:v>
      </x:c>
      <x:c r="G18" s="61" t="str">
        <x:v>45〜60秒</x:v>
      </x:c>
      <x:c r="H18" s="61" t="str">
        <x:v>16:9</x:v>
      </x:c>
      <x:c r="I18" s="61" t="str">
        <x:v>9:16</x:v>
      </x:c>
      <x:c r="J18" s="61" t="str">
        <x:v>P2</x:v>
      </x:c>
      <x:c r="K18" s="58" t="str">
        <x:v>R01–R03／RH01</x:v>
      </x:c>
      <x:c r="L18" s="58" t="str">
        <x:v>ステージ確認、立ち位置、照明テスト、汗</x:v>
      </x:c>
      <x:c r="M18" s="58" t="str">
        <x:v>疑似ドキュメンタリーとしてカットを細かくする</x:v>
      </x:c>
      <x:c r="N18" s="58" t="str">
        <x:v>企画</x:v>
      </x:c>
    </x:row>
    <x:row r="19" ht="46.5" customHeight="1">
      <x:c r="A19" s="61" t="str">
        <x:v>V14</x:v>
      </x:c>
      <x:c r="B19" s="58" t="str">
        <x:v>SOLAR 24</x:v>
      </x:c>
      <x:c r="C19" s="58" t="str">
        <x:v>夜明け前</x:v>
      </x:c>
      <x:c r="D19" s="58" t="str">
        <x:v>Daybreak Runner Visual Clip</x:v>
      </x:c>
      <x:c r="E19" s="58" t="str">
        <x:v>Daybreak Runner</x:v>
      </x:c>
      <x:c r="F19" s="58" t="str">
        <x:v>Visual Clip</x:v>
      </x:c>
      <x:c r="G19" s="61" t="str">
        <x:v>30〜45秒</x:v>
      </x:c>
      <x:c r="H19" s="61" t="str">
        <x:v>16:9</x:v>
      </x:c>
      <x:c r="I19" s="61" t="str">
        <x:v>9:16</x:v>
      </x:c>
      <x:c r="J19" s="61" t="str">
        <x:v>P2</x:v>
      </x:c>
      <x:c r="K19" s="58" t="str">
        <x:v>R01–R03／D01／S01</x:v>
      </x:c>
      <x:c r="L19" s="58" t="str">
        <x:v>始発前の街、足音、青から白への変化</x:v>
      </x:c>
      <x:c r="M19" s="58" t="str">
        <x:v>走りの全身長回しは避け、断片で疾走感を作る</x:v>
      </x:c>
      <x:c r="N19" s="58" t="str">
        <x:v>企画</x:v>
      </x:c>
    </x:row>
    <x:row r="20" ht="46.5" customHeight="1">
      <x:c r="A20" s="61" t="str">
        <x:v>V15</x:v>
      </x:c>
      <x:c r="B20" s="58" t="str">
        <x:v>SOLAR 24</x:v>
      </x:c>
      <x:c r="C20" s="58" t="str">
        <x:v>朝</x:v>
      </x:c>
      <x:c r="D20" s="58" t="str">
        <x:v>SOLAR MORNING MESSAGES</x:v>
      </x:c>
      <x:c r="E20" s="58" t="str">
        <x:v>5人コメント</x:v>
      </x:c>
      <x:c r="F20" s="58" t="str">
        <x:v>Message Film</x:v>
      </x:c>
      <x:c r="G20" s="61" t="str">
        <x:v>60秒</x:v>
      </x:c>
      <x:c r="H20" s="61" t="str">
        <x:v>9:16</x:v>
      </x:c>
      <x:c r="I20" s="61" t="str">
        <x:v>16:9まとめ版</x:v>
      </x:c>
      <x:c r="J20" s="61" t="str">
        <x:v>P2</x:v>
      </x:c>
      <x:c r="K20" s="58" t="str">
        <x:v>MSG01／GFX03</x:v>
      </x:c>
      <x:c r="L20" s="58" t="str">
        <x:v>表情の微細な動きとタイポグラフィ</x:v>
      </x:c>
      <x:c r="M20" s="58" t="str">
        <x:v>合成音声・喋る口元は使わず、本人コメントを文字で見せる</x:v>
      </x:c>
      <x:c r="N20" s="58" t="str">
        <x:v>企画</x:v>
      </x:c>
    </x:row>
    <x:row r="21" ht="46.5" customHeight="1">
      <x:c r="A21" s="61" t="str">
        <x:v>V16</x:v>
      </x:c>
      <x:c r="B21" s="58" t="str">
        <x:v>SOLAR 24</x:v>
      </x:c>
      <x:c r="C21" s="58" t="str">
        <x:v>夕方</x:v>
      </x:c>
      <x:c r="D21" s="58" t="str">
        <x:v>Golden Hour Rooftop Session</x:v>
      </x:c>
      <x:c r="E21" s="58" t="str">
        <x:v>Golden Hour</x:v>
      </x:c>
      <x:c r="F21" s="58" t="str">
        <x:v>Visual Session</x:v>
      </x:c>
      <x:c r="G21" s="61" t="str">
        <x:v>60〜90秒</x:v>
      </x:c>
      <x:c r="H21" s="61" t="str">
        <x:v>16:9</x:v>
      </x:c>
      <x:c r="I21" s="61" t="str">
        <x:v>9:16</x:v>
      </x:c>
      <x:c r="J21" s="61" t="str">
        <x:v>P2</x:v>
      </x:c>
      <x:c r="K21" s="58" t="str">
        <x:v>R01–R03／GH01</x:v>
      </x:c>
      <x:c r="L21" s="58" t="str">
        <x:v>夕風、広い間隔、少ない動き、日没</x:v>
      </x:c>
      <x:c r="M21" s="58" t="str">
        <x:v>ライブ口パクより“演奏風景を切り取る”演出</x:v>
      </x:c>
      <x:c r="N21" s="58" t="str">
        <x:v>企画</x:v>
      </x:c>
    </x:row>
    <x:row r="22" ht="46.5" customHeight="1">
      <x:c r="A22" s="61" t="str">
        <x:v>V17</x:v>
      </x:c>
      <x:c r="B22" s="58" t="str">
        <x:v>SOLAR 24</x:v>
      </x:c>
      <x:c r="C22" s="58" t="str">
        <x:v>夜</x:v>
      </x:c>
      <x:c r="D22" s="58" t="str">
        <x:v>Afterimage × Moonlit PRODUCTION NOTES</x:v>
      </x:c>
      <x:c r="E22" s="58" t="str">
        <x:v>Afterimage／Moonlit</x:v>
      </x:c>
      <x:c r="F22" s="58" t="str">
        <x:v>Quote Film</x:v>
      </x:c>
      <x:c r="G22" s="61" t="str">
        <x:v>60〜90秒</x:v>
      </x:c>
      <x:c r="H22" s="61" t="str">
        <x:v>16:9</x:v>
      </x:c>
      <x:c r="I22" s="61" t="str">
        <x:v>9:16</x:v>
      </x:c>
      <x:c r="J22" s="61" t="str">
        <x:v>P2</x:v>
      </x:c>
      <x:c r="K22" s="58" t="str">
        <x:v>PN01／M01／GFX03</x:v>
      </x:c>
      <x:c r="L22" s="58" t="str">
        <x:v>消灯後のステージ、無人スタジオ、引用カード</x:v>
      </x:c>
      <x:c r="M22" s="58" t="str">
        <x:v>制作対談は音声なしでも成立する編集にする</x:v>
      </x:c>
      <x:c r="N22" s="58" t="str">
        <x:v>企画</x:v>
      </x:c>
    </x:row>
    <x:row r="23" ht="46.5" customHeight="1">
      <x:c r="A23" s="61" t="str">
        <x:v>V18</x:v>
      </x:c>
      <x:c r="B23" s="58" t="str">
        <x:v>SOLAR 24</x:v>
      </x:c>
      <x:c r="C23" s="58" t="str">
        <x:v>24時</x:v>
      </x:c>
      <x:c r="D23" s="58" t="str">
        <x:v>Sun Never Sleeps Lyric Film + Tour Announce</x:v>
      </x:c>
      <x:c r="E23" s="58" t="str">
        <x:v>Sun Never Sleeps</x:v>
      </x:c>
      <x:c r="F23" s="58" t="str">
        <x:v>Lyric Film</x:v>
      </x:c>
      <x:c r="G23" s="61" t="str">
        <x:v>楽曲フル尺</x:v>
      </x:c>
      <x:c r="H23" s="61" t="str">
        <x:v>16:9</x:v>
      </x:c>
      <x:c r="I23" s="61" t="str">
        <x:v>9:16終盤30秒</x:v>
      </x:c>
      <x:c r="J23" s="61" t="str">
        <x:v>P2</x:v>
      </x:c>
      <x:c r="K23" s="58" t="str">
        <x:v>SN01／GFX02–GFX03／FX01</x:v>
      </x:c>
      <x:c r="L23" s="58" t="str">
        <x:v>夜から次の朝へ進む風景と5人の静かなカット</x:v>
      </x:c>
      <x:c r="M23" s="58" t="str">
        <x:v>歌詞とツアー情報は編集で追加</x:v>
      </x:c>
      <x:c r="N23" s="58" t="str">
        <x:v>企画</x:v>
      </x:c>
    </x:row>
    <x:row r="24" ht="46.5" customHeight="1">
      <x:c r="A24" s="61" t="str">
        <x:v>V19</x:v>
      </x:c>
      <x:c r="B24" s="58" t="str">
        <x:v>NEXT DAWN</x:v>
      </x:c>
      <x:c r="C24" s="58" t="str">
        <x:v>発売後1週</x:v>
      </x:c>
      <x:c r="D24" s="58" t="str">
        <x:v>MAKING OF SOLAR</x:v>
      </x:c>
      <x:c r="E24" s="58" t="str">
        <x:v>アルバム制作</x:v>
      </x:c>
      <x:c r="F24" s="58" t="str">
        <x:v>Documentary</x:v>
      </x:c>
      <x:c r="G24" s="61" t="str">
        <x:v>3〜5分</x:v>
      </x:c>
      <x:c r="H24" s="61" t="str">
        <x:v>16:9</x:v>
      </x:c>
      <x:c r="I24" s="61" t="str">
        <x:v>9:16予告</x:v>
      </x:c>
      <x:c r="J24" s="61" t="str">
        <x:v>P3</x:v>
      </x:c>
      <x:c r="K24" s="58" t="str">
        <x:v>DOC01／既存採用・不採用素材</x:v>
      </x:c>
      <x:c r="L24" s="58" t="str">
        <x:v>制作素材、リハ、移動、撮影現場の短い断片</x:v>
      </x:c>
      <x:c r="M24" s="58" t="str">
        <x:v>AI映像であることを隠す偽メイキングではなく作品内記録映像として編集</x:v>
      </x:c>
      <x:c r="N24" s="58" t="str">
        <x:v>保留</x:v>
      </x:c>
    </x:row>
    <x:row r="25" ht="46.5" customHeight="1">
      <x:c r="A25" s="61" t="str">
        <x:v>V20</x:v>
      </x:c>
      <x:c r="B25" s="58" t="str">
        <x:v>NEXT DAWN</x:v>
      </x:c>
      <x:c r="C25" s="58" t="str">
        <x:v>発売後2週</x:v>
      </x:c>
      <x:c r="D25" s="58" t="str">
        <x:v>OVERDRIVE Dance Practice Highlight</x:v>
      </x:c>
      <x:c r="E25" s="58" t="str">
        <x:v>OVERDRIVE</x:v>
      </x:c>
      <x:c r="F25" s="58" t="str">
        <x:v>Dance Practice</x:v>
      </x:c>
      <x:c r="G25" s="61" t="str">
        <x:v>45〜60秒</x:v>
      </x:c>
      <x:c r="H25" s="61" t="str">
        <x:v>16:9</x:v>
      </x:c>
      <x:c r="I25" s="61" t="str">
        <x:v>9:16</x:v>
      </x:c>
      <x:c r="J25" s="61" t="str">
        <x:v>P3</x:v>
      </x:c>
      <x:c r="K25" s="58" t="str">
        <x:v>R01–R03／OD01</x:v>
      </x:c>
      <x:c r="L25" s="58" t="str">
        <x:v>固定正面、短い振付単位、KAI・SHOの交互カット</x:v>
      </x:c>
      <x:c r="M25" s="58" t="str">
        <x:v>V11で群舞品質が合格してから着手</x:v>
      </x:c>
      <x:c r="N25" s="58" t="str">
        <x:v>保留</x:v>
      </x:c>
    </x:row>
    <x:row r="26" ht="46.5" customHeight="1">
      <x:c r="A26" s="61" t="str">
        <x:v>V21</x:v>
      </x:c>
      <x:c r="B26" s="58" t="str">
        <x:v>NEXT DAWN</x:v>
      </x:c>
      <x:c r="C26" s="58" t="str">
        <x:v>発売後3週</x:v>
      </x:c>
      <x:c r="D26" s="58" t="str">
        <x:v>AFTERIMAGE — TWO VERSIONS</x:v>
      </x:c>
      <x:c r="E26" s="58" t="str">
        <x:v>Afterimage Album／Live</x:v>
      </x:c>
      <x:c r="F26" s="58" t="str">
        <x:v>Comparison Film</x:v>
      </x:c>
      <x:c r="G26" s="61" t="str">
        <x:v>60秒</x:v>
      </x:c>
      <x:c r="H26" s="61" t="str">
        <x:v>16:9</x:v>
      </x:c>
      <x:c r="I26" s="61" t="str">
        <x:v>9:16</x:v>
      </x:c>
      <x:c r="J26" s="61" t="str">
        <x:v>P3</x:v>
      </x:c>
      <x:c r="K26" s="58" t="str">
        <x:v>AI01／PN01</x:v>
      </x:c>
      <x:c r="L26" s="58" t="str">
        <x:v>同じ構図を静かなAlbum版とバンドLive版で対比</x:v>
      </x:c>
      <x:c r="M26" s="58" t="str">
        <x:v>画面分割と字幕は編集で作る</x:v>
      </x:c>
      <x:c r="N26" s="58" t="str">
        <x:v>保留</x:v>
      </x:c>
    </x:row>
    <x:row r="27" ht="46.5" customHeight="1">
      <x:c r="A27" s="61" t="str">
        <x:v>V22</x:v>
      </x:c>
      <x:c r="B27" s="58" t="str">
        <x:v>NEXT DAWN</x:v>
      </x:c>
      <x:c r="C27" s="58" t="str">
        <x:v>発売後4週</x:v>
      </x:c>
      <x:c r="D27" s="58" t="str">
        <x:v>Sun Never Sleeps Live Session</x:v>
      </x:c>
      <x:c r="E27" s="58" t="str">
        <x:v>Sun Never Sleeps</x:v>
      </x:c>
      <x:c r="F27" s="58" t="str">
        <x:v>Live Session</x:v>
      </x:c>
      <x:c r="G27" s="61" t="str">
        <x:v>90秒試作→フル</x:v>
      </x:c>
      <x:c r="H27" s="61" t="str">
        <x:v>16:9</x:v>
      </x:c>
      <x:c r="I27" s="61" t="str">
        <x:v>9:16</x:v>
      </x:c>
      <x:c r="J27" s="61" t="str">
        <x:v>P3</x:v>
      </x:c>
      <x:c r="K27" s="58" t="str">
        <x:v>R01–R03／LS01／SN01</x:v>
      </x:c>
      <x:c r="L27" s="58" t="str">
        <x:v>静かな歌唱姿、逆光、マイク、観客なし</x:v>
      </x:c>
      <x:c r="M27" s="58" t="str">
        <x:v>歌唱口元の品質確認後にフル尺へ拡張</x:v>
      </x:c>
      <x:c r="N27" s="58" t="str">
        <x:v>保留</x:v>
      </x:c>
    </x:row>
    <x:row r="28" ht="46.5" customHeight="1">
      <x:c r="A28" s="62" t="str">
        <x:v>V23</x:v>
      </x:c>
      <x:c r="B28" s="59" t="str">
        <x:v>NEXT DAWN</x:v>
      </x:c>
      <x:c r="C28" s="59" t="str">
        <x:v>ツアー前</x:v>
      </x:c>
      <x:c r="D28" s="59" t="str">
        <x:v>SOLAR TOUR REHEARSAL DIARY</x:v>
      </x:c>
      <x:c r="E28" s="59" t="str">
        <x:v>ツアー準備</x:v>
      </x:c>
      <x:c r="F28" s="59" t="str">
        <x:v>Rehearsal Diary</x:v>
      </x:c>
      <x:c r="G28" s="62" t="str">
        <x:v>2〜3分</x:v>
      </x:c>
      <x:c r="H28" s="62" t="str">
        <x:v>16:9</x:v>
      </x:c>
      <x:c r="I28" s="62" t="str">
        <x:v>9:16予告</x:v>
      </x:c>
      <x:c r="J28" s="62" t="str">
        <x:v>P3</x:v>
      </x:c>
      <x:c r="K28" s="59" t="str">
        <x:v>TD01／RH01／既存素材</x:v>
      </x:c>
      <x:c r="L28" s="59" t="str">
        <x:v>複数日の短い記録、モニター、靴、呼吸、空の会場</x:v>
      </x:c>
      <x:c r="M28" s="59" t="str">
        <x:v>物語性は字幕と日付で構成する</x:v>
      </x:c>
      <x:c r="N28" s="59" t="str">
        <x:v>保留</x:v>
      </x:c>
    </x:row>
  </x:sheetData>
  <x:mergeCells>
    <x:mergeCell ref="A1:N2"/>
    <x:mergeCell ref="A3:N3"/>
  </x:mergeCells>
  <x:conditionalFormatting sqref="J5:J28">
    <x:cfRule type="containsText" dxfId="0" priority="1" operator="containsText" text="P0"/>
    <x:cfRule type="containsText" dxfId="1" priority="2" operator="containsText" text="P1"/>
    <x:cfRule type="containsText" dxfId="2" priority="3" operator="containsText" text="P2"/>
    <x:cfRule type="containsText" dxfId="3" priority="4" operator="containsText" text="P3"/>
  </x:conditionalFormatting>
  <x:conditionalFormatting sqref="N5:N28">
    <x:cfRule type="containsText" dxfId="4" priority="5" operator="containsText" text="完了"/>
  </x:conditionalFormatting>
  <x:dataValidations count="2">
    <x:dataValidation type="list" sqref="N5:N28">
      <x:formula1>"企画,最初に着手,制作中,確認待ち,完了,保留"</x:formula1>
    </x:dataValidation>
    <x:dataValidation type="list" sqref="J5:J28">
      <x:formula1>"P0,P1,P2,P3"</x:formula1>
    </x:dataValidation>
  </x:dataValidations>
  <x:pageMargins left="0.7" right="0.7" top="0.75" bottom="0.75" header="0.3" footer="0.3"/>
  <x:tableParts count="1">
    <x:tablePart xmlns:r="http://schemas.openxmlformats.org/officeDocument/2006/relationships" r:id="R0bb1ea4b9a4b4cc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21999979019165" hidden="0" customWidth="1"/>
    <x:col min="2" max="2" width="10" hidden="0" customWidth="1"/>
    <x:col min="3" max="3" width="13.329999923706055" hidden="0" customWidth="1"/>
    <x:col min="4" max="4" width="36.11000061035156" hidden="0" customWidth="1"/>
    <x:col min="5" max="5" width="10" hidden="0" customWidth="1"/>
    <x:col min="6" max="6" width="13.329999923706055" hidden="0" customWidth="1"/>
    <x:col min="7" max="7" width="10.5600004196167" hidden="0" customWidth="1"/>
    <x:col min="8" max="8" width="6.670000076293945" hidden="0" customWidth="1"/>
    <x:col min="9" max="9" width="10.5600004196167" hidden="0" customWidth="1"/>
    <x:col min="10" max="10" width="7.21999979019165" hidden="0" customWidth="1"/>
    <x:col min="11" max="11" width="20" hidden="0" customWidth="1"/>
    <x:col min="12" max="12" width="36.66999816894531" hidden="0" customWidth="1"/>
    <x:col min="13" max="13" width="30.559999465942383" hidden="0" customWidth="1"/>
    <x:col min="14" max="14" width="10" hidden="0" customWidth="1"/>
  </x:cols>
  <x:sheetData>
    <x:row r="1">
      <x:c r="A1" s="3" t="str">
        <x:v>必要画像素材リスト</x:v>
      </x:c>
      <x:c r="B1" s="3"/>
      <x:c r="C1" s="3"/>
      <x:c r="D1" s="3"/>
      <x:c r="E1" s="3"/>
      <x:c r="F1" s="3"/>
      <x:c r="G1" s="3"/>
      <x:c r="H1" s="3"/>
      <x:c r="I1" s="3"/>
      <x:c r="J1" s="3"/>
      <x:c r="K1" s="3"/>
      <x:c r="L1" s="3"/>
      <x:c r="M1" s="3"/>
      <x:c r="N1" s="3"/>
    </x:row>
    <x:row r="2">
      <x:c r="A2" s="87"/>
      <x:c r="B2" s="87"/>
      <x:c r="C2" s="87"/>
      <x:c r="D2" s="87"/>
      <x:c r="E2" s="87"/>
      <x:c r="F2" s="87"/>
      <x:c r="G2" s="87"/>
      <x:c r="H2" s="87"/>
      <x:c r="I2" s="87"/>
      <x:c r="J2" s="87"/>
      <x:c r="K2" s="87"/>
      <x:c r="L2" s="87"/>
      <x:c r="M2" s="87"/>
      <x:c r="N2" s="87"/>
    </x:row>
    <x:row r="3">
      <x:c r="A3" s="6" t="str">
        <x:v>数量は最大見積り。既存カバー／Heroは構図確認に使い、新規動画の同一性はR01〜R07を正本にする</x:v>
      </x:c>
      <x:c r="B3" s="6"/>
      <x:c r="C3" s="6"/>
      <x:c r="D3" s="6"/>
      <x:c r="E3" s="6"/>
      <x:c r="F3" s="6"/>
      <x:c r="G3" s="6"/>
      <x:c r="H3" s="6"/>
      <x:c r="I3" s="6"/>
      <x:c r="J3" s="6"/>
      <x:c r="K3" s="6"/>
      <x:c r="L3" s="6"/>
      <x:c r="M3" s="6"/>
      <x:c r="N3" s="6"/>
    </x:row>
    <x:row r="4">
      <x:c r="A4" s="47" t="str">
        <x:v>素材ID</x:v>
      </x:c>
      <x:c r="B4" s="48" t="str">
        <x:v>区分</x:v>
      </x:c>
      <x:c r="C4" s="48" t="str">
        <x:v>対象</x:v>
      </x:c>
      <x:c r="D4" s="48" t="str">
        <x:v>内容</x:v>
      </x:c>
      <x:c r="E4" s="48" t="str">
        <x:v>主比率</x:v>
      </x:c>
      <x:c r="F4" s="48" t="str">
        <x:v>推奨サイズ</x:v>
      </x:c>
      <x:c r="G4" s="48" t="str">
        <x:v>形式</x:v>
      </x:c>
      <x:c r="H4" s="48" t="str">
        <x:v>数量</x:v>
      </x:c>
      <x:c r="I4" s="48" t="str">
        <x:v>再利用</x:v>
      </x:c>
      <x:c r="J4" s="48" t="str">
        <x:v>優先度</x:v>
      </x:c>
      <x:c r="K4" s="48" t="str">
        <x:v>使用動画</x:v>
      </x:c>
      <x:c r="L4" s="48" t="str">
        <x:v>生成・制作要点</x:v>
      </x:c>
      <x:c r="M4" s="48" t="str">
        <x:v>QA</x:v>
      </x:c>
      <x:c r="N4" s="49" t="str">
        <x:v>進捗</x:v>
      </x:c>
    </x:row>
    <x:row r="5" ht="43.5" customHeight="1">
      <x:c r="A5" s="60" t="str">
        <x:v>R01</x:v>
      </x:c>
      <x:c r="B5" s="57" t="str">
        <x:v>人物参照</x:v>
      </x:c>
      <x:c r="C5" s="57" t="str">
        <x:v>5人</x:v>
      </x:c>
      <x:c r="D5" s="57" t="str">
        <x:v>顔アンカー：正面寄りのニュートラル表情×各1</x:v>
      </x:c>
      <x:c r="E5" s="60" t="str">
        <x:v>4:5</x:v>
      </x:c>
      <x:c r="F5" s="60" t="str">
        <x:v>1600×2000</x:v>
      </x:c>
      <x:c r="G5" s="60" t="str">
        <x:v>PNG/WebP</x:v>
      </x:c>
      <x:c r="H5" s="83" t="n">
        <x:v>5</x:v>
      </x:c>
      <x:c r="I5" s="60" t="str">
        <x:v>全動画</x:v>
      </x:c>
      <x:c r="J5" s="60" t="str">
        <x:v>P0</x:v>
      </x:c>
      <x:c r="K5" s="57" t="str">
        <x:v>V00–V23</x:v>
      </x:c>
      <x:c r="L5" s="57" t="str">
        <x:v>髪型・目・鼻・口・輪郭を固定。衣装より顔を優先</x:v>
      </x:c>
      <x:c r="M5" s="57" t="str">
        <x:v>5人を無作為順でも識別できる</x:v>
      </x:c>
      <x:c r="N5" s="57" t="str">
        <x:v>未着手</x:v>
      </x:c>
    </x:row>
    <x:row r="6" ht="43.5" customHeight="1">
      <x:c r="A6" s="61" t="str">
        <x:v>R02</x:v>
      </x:c>
      <x:c r="B6" s="58" t="str">
        <x:v>人物参照</x:v>
      </x:c>
      <x:c r="C6" s="58" t="str">
        <x:v>5人</x:v>
      </x:c>
      <x:c r="D6" s="58" t="str">
        <x:v>全身プロポーション：正面・自然立ち×各1</x:v>
      </x:c>
      <x:c r="E6" s="61" t="str">
        <x:v>4:5</x:v>
      </x:c>
      <x:c r="F6" s="61" t="str">
        <x:v>1600×2000</x:v>
      </x:c>
      <x:c r="G6" s="61" t="str">
        <x:v>PNG/WebP</x:v>
      </x:c>
      <x:c r="H6" s="84" t="n">
        <x:v>5</x:v>
      </x:c>
      <x:c r="I6" s="61" t="str">
        <x:v>全動画</x:v>
      </x:c>
      <x:c r="J6" s="61" t="str">
        <x:v>P0</x:v>
      </x:c>
      <x:c r="K6" s="58" t="str">
        <x:v>V00–V23</x:v>
      </x:c>
      <x:c r="L6" s="58" t="str">
        <x:v>身長差・肩幅・筋肉量・脚長を固定</x:v>
      </x:c>
      <x:c r="M6" s="58" t="str">
        <x:v>YUTO／SHOを含む体格差が維持</x:v>
      </x:c>
      <x:c r="N6" s="58" t="str">
        <x:v>未着手</x:v>
      </x:c>
    </x:row>
    <x:row r="7" ht="43.5" customHeight="1">
      <x:c r="A7" s="61" t="str">
        <x:v>R03</x:v>
      </x:c>
      <x:c r="B7" s="58" t="str">
        <x:v>衣装参照</x:v>
      </x:c>
      <x:c r="C7" s="58" t="str">
        <x:v>5人</x:v>
      </x:c>
      <x:c r="D7" s="58" t="str">
        <x:v>SOLAR衣装：白・金・橙を軸にした全身×各1</x:v>
      </x:c>
      <x:c r="E7" s="61" t="str">
        <x:v>4:5</x:v>
      </x:c>
      <x:c r="F7" s="61" t="str">
        <x:v>1600×2000</x:v>
      </x:c>
      <x:c r="G7" s="61" t="str">
        <x:v>PNG/WebP</x:v>
      </x:c>
      <x:c r="H7" s="84" t="n">
        <x:v>5</x:v>
      </x:c>
      <x:c r="I7" s="61" t="str">
        <x:v>SOLAR期</x:v>
      </x:c>
      <x:c r="J7" s="61" t="str">
        <x:v>P0</x:v>
      </x:c>
      <x:c r="K7" s="58" t="str">
        <x:v>V00／V04–V23</x:v>
      </x:c>
      <x:c r="L7" s="58" t="str">
        <x:v>各メンバーに色を差すがページ全体を単色化しない</x:v>
      </x:c>
      <x:c r="M7" s="58" t="str">
        <x:v>前後カットで装飾・袖・靴が一致</x:v>
      </x:c>
      <x:c r="N7" s="58" t="str">
        <x:v>未着手</x:v>
      </x:c>
    </x:row>
    <x:row r="8" ht="43.5" customHeight="1">
      <x:c r="A8" s="61" t="str">
        <x:v>R04</x:v>
      </x:c>
      <x:c r="B8" s="58" t="str">
        <x:v>衣装参照</x:v>
      </x:c>
      <x:c r="C8" s="58" t="str">
        <x:v>5人</x:v>
      </x:c>
      <x:c r="D8" s="58" t="str">
        <x:v>Moonlit衣装：青・紫・黒を軸にした全身×各1</x:v>
      </x:c>
      <x:c r="E8" s="61" t="str">
        <x:v>4:5</x:v>
      </x:c>
      <x:c r="F8" s="61" t="str">
        <x:v>1600×2000</x:v>
      </x:c>
      <x:c r="G8" s="61" t="str">
        <x:v>PNG/WebP</x:v>
      </x:c>
      <x:c r="H8" s="84" t="n">
        <x:v>5</x:v>
      </x:c>
      <x:c r="I8" s="61" t="str">
        <x:v>Moonlit期</x:v>
      </x:c>
      <x:c r="J8" s="61" t="str">
        <x:v>P1</x:v>
      </x:c>
      <x:c r="K8" s="58" t="str">
        <x:v>V01–V03</x:v>
      </x:c>
      <x:c r="L8" s="58" t="str">
        <x:v>SHOは鋭く、YUTOは若さと静かな強さを分ける</x:v>
      </x:c>
      <x:c r="M8" s="58" t="str">
        <x:v>SOLAR衣装と混ざらない</x:v>
      </x:c>
      <x:c r="N8" s="58" t="str">
        <x:v>未着手</x:v>
      </x:c>
    </x:row>
    <x:row r="9" ht="43.5" customHeight="1">
      <x:c r="A9" s="61" t="str">
        <x:v>R05</x:v>
      </x:c>
      <x:c r="B9" s="58" t="str">
        <x:v>集合参照</x:v>
      </x:c>
      <x:c r="C9" s="58" t="str">
        <x:v>5人</x:v>
      </x:c>
      <x:c r="D9" s="58" t="str">
        <x:v>身長・立ち位置・肩幅が分かる横一列の全身</x:v>
      </x:c>
      <x:c r="E9" s="61" t="str">
        <x:v>16:9</x:v>
      </x:c>
      <x:c r="F9" s="61" t="str">
        <x:v>2400×1350</x:v>
      </x:c>
      <x:c r="G9" s="61" t="str">
        <x:v>PNG/WebP</x:v>
      </x:c>
      <x:c r="H9" s="84" t="n">
        <x:v>1</x:v>
      </x:c>
      <x:c r="I9" s="61" t="str">
        <x:v>全動画</x:v>
      </x:c>
      <x:c r="J9" s="61" t="str">
        <x:v>P0</x:v>
      </x:c>
      <x:c r="K9" s="58" t="str">
        <x:v>V00／V01／V02／V10–V23</x:v>
      </x:c>
      <x:c r="L9" s="58" t="str">
        <x:v>同じ床面・同じ焦点距離・正面固定</x:v>
      </x:c>
      <x:c r="M9" s="58" t="str">
        <x:v>人数5、手足、身長順が正しい</x:v>
      </x:c>
      <x:c r="N9" s="58" t="str">
        <x:v>未着手</x:v>
      </x:c>
    </x:row>
    <x:row r="10" ht="43.5" customHeight="1">
      <x:c r="A10" s="61" t="str">
        <x:v>R06</x:v>
      </x:c>
      <x:c r="B10" s="58" t="str">
        <x:v>集合参照</x:v>
      </x:c>
      <x:c r="C10" s="58" t="str">
        <x:v>5人</x:v>
      </x:c>
      <x:c r="D10" s="58" t="str">
        <x:v>胸上の集合カット／顔識別用</x:v>
      </x:c>
      <x:c r="E10" s="61" t="str">
        <x:v>16:9</x:v>
      </x:c>
      <x:c r="F10" s="61" t="str">
        <x:v>2400×1350</x:v>
      </x:c>
      <x:c r="G10" s="61" t="str">
        <x:v>PNG/WebP</x:v>
      </x:c>
      <x:c r="H10" s="84" t="n">
        <x:v>1</x:v>
      </x:c>
      <x:c r="I10" s="61" t="str">
        <x:v>全動画</x:v>
      </x:c>
      <x:c r="J10" s="61" t="str">
        <x:v>P0</x:v>
      </x:c>
      <x:c r="K10" s="58" t="str">
        <x:v>V00–V23</x:v>
      </x:c>
      <x:c r="L10" s="58" t="str">
        <x:v>顔の距離と頭部サイズを揃える</x:v>
      </x:c>
      <x:c r="M10" s="58" t="str">
        <x:v>同じ顔へ収束していない</x:v>
      </x:c>
      <x:c r="N10" s="58" t="str">
        <x:v>未着手</x:v>
      </x:c>
    </x:row>
    <x:row r="11" ht="43.5" customHeight="1">
      <x:c r="A11" s="61" t="str">
        <x:v>R07</x:v>
      </x:c>
      <x:c r="B11" s="58" t="str">
        <x:v>スタイル参照</x:v>
      </x:c>
      <x:c r="C11" s="58" t="str">
        <x:v>共通</x:v>
      </x:c>
      <x:c r="D11" s="58" t="str">
        <x:v>SOLAR CYCLE色設計：夜明け前→朝→昼→夕→夜</x:v>
      </x:c>
      <x:c r="E11" s="61" t="str">
        <x:v>16:9</x:v>
      </x:c>
      <x:c r="F11" s="61" t="str">
        <x:v>2400×1350</x:v>
      </x:c>
      <x:c r="G11" s="61" t="str">
        <x:v>PNG</x:v>
      </x:c>
      <x:c r="H11" s="84" t="n">
        <x:v>1</x:v>
      </x:c>
      <x:c r="I11" s="61" t="str">
        <x:v>全動画</x:v>
      </x:c>
      <x:c r="J11" s="61" t="str">
        <x:v>P0</x:v>
      </x:c>
      <x:c r="K11" s="58" t="str">
        <x:v>V00–V23</x:v>
      </x:c>
      <x:c r="L11" s="58" t="str">
        <x:v>modern editorial／cinematic／refined darkを基準</x:v>
      </x:c>
      <x:c r="M11" s="58" t="str">
        <x:v>過剰ネオン・全面炎・ゲームHUDなし</x:v>
      </x:c>
      <x:c r="N11" s="58" t="str">
        <x:v>未着手</x:v>
      </x:c>
    </x:row>
    <x:row r="12" ht="43.5" customHeight="1">
      <x:c r="A12" s="61" t="str">
        <x:v>GFX01</x:v>
      </x:c>
      <x:c r="B12" s="58" t="str">
        <x:v>グラフィック</x:v>
      </x:c>
      <x:c r="C12" s="58" t="str">
        <x:v>共通</x:v>
      </x:c>
      <x:c r="D12" s="58" t="str">
        <x:v>IGNITEロゴ透過版</x:v>
      </x:c>
      <x:c r="E12" s="61" t="str">
        <x:v>可変</x:v>
      </x:c>
      <x:c r="F12" s="61" t="str">
        <x:v>長辺2400以上</x:v>
      </x:c>
      <x:c r="G12" s="61" t="str">
        <x:v>PNG</x:v>
      </x:c>
      <x:c r="H12" s="84" t="n">
        <x:v>1</x:v>
      </x:c>
      <x:c r="I12" s="61" t="str">
        <x:v>全動画</x:v>
      </x:c>
      <x:c r="J12" s="61" t="str">
        <x:v>P0</x:v>
      </x:c>
      <x:c r="K12" s="58" t="str">
        <x:v>V01–V23</x:v>
      </x:c>
      <x:c r="L12" s="58" t="str">
        <x:v>既存ロゴの正本から作成</x:v>
      </x:c>
      <x:c r="M12" s="58" t="str">
        <x:v>縁の欠け・透過汚れなし</x:v>
      </x:c>
      <x:c r="N12" s="58" t="str">
        <x:v>要確認</x:v>
      </x:c>
    </x:row>
    <x:row r="13" ht="43.5" customHeight="1">
      <x:c r="A13" s="61" t="str">
        <x:v>GFX02</x:v>
      </x:c>
      <x:c r="B13" s="58" t="str">
        <x:v>グラフィック</x:v>
      </x:c>
      <x:c r="C13" s="58" t="str">
        <x:v>SOLAR</x:v>
      </x:c>
      <x:c r="D13" s="58" t="str">
        <x:v>SOLARタイトルロックアップ透過版</x:v>
      </x:c>
      <x:c r="E13" s="61" t="str">
        <x:v>16:9</x:v>
      </x:c>
      <x:c r="F13" s="61" t="str">
        <x:v>2400×1350</x:v>
      </x:c>
      <x:c r="G13" s="61" t="str">
        <x:v>PNG</x:v>
      </x:c>
      <x:c r="H13" s="84" t="n">
        <x:v>1</x:v>
      </x:c>
      <x:c r="I13" s="61" t="str">
        <x:v>SOLAR期</x:v>
      </x:c>
      <x:c r="J13" s="61" t="str">
        <x:v>P1</x:v>
      </x:c>
      <x:c r="K13" s="58" t="str">
        <x:v>V03／V09／V10／V18</x:v>
      </x:c>
      <x:c r="L13" s="58" t="str">
        <x:v>白金を基本。過度なグローを避ける</x:v>
      </x:c>
      <x:c r="M13" s="58" t="str">
        <x:v>小画面でも判読可能</x:v>
      </x:c>
      <x:c r="N13" s="58" t="str">
        <x:v>未着手</x:v>
      </x:c>
    </x:row>
    <x:row r="14" ht="43.5" customHeight="1">
      <x:c r="A14" s="61" t="str">
        <x:v>GFX03</x:v>
      </x:c>
      <x:c r="B14" s="58" t="str">
        <x:v>グラフィック</x:v>
      </x:c>
      <x:c r="C14" s="58" t="str">
        <x:v>Campaign</x:v>
      </x:c>
      <x:c r="D14" s="58" t="str">
        <x:v>朝から、次の朝まで。／英字コピーの横・縦版</x:v>
      </x:c>
      <x:c r="E14" s="61" t="str">
        <x:v>16:9／9:16</x:v>
      </x:c>
      <x:c r="F14" s="61" t="str">
        <x:v>2400×1350／1080×1920</x:v>
      </x:c>
      <x:c r="G14" s="61" t="str">
        <x:v>PNG</x:v>
      </x:c>
      <x:c r="H14" s="84" t="n">
        <x:v>2</x:v>
      </x:c>
      <x:c r="I14" s="61" t="str">
        <x:v>Campaign</x:v>
      </x:c>
      <x:c r="J14" s="61" t="str">
        <x:v>P1</x:v>
      </x:c>
      <x:c r="K14" s="58" t="str">
        <x:v>V09／V15／V17–V19</x:v>
      </x:c>
      <x:c r="L14" s="58" t="str">
        <x:v>文字は画像生成せずレイアウト制作</x:v>
      </x:c>
      <x:c r="M14" s="58" t="str">
        <x:v>句読点・英文・日付が正確</x:v>
      </x:c>
      <x:c r="N14" s="58" t="str">
        <x:v>未着手</x:v>
      </x:c>
    </x:row>
    <x:row r="15" ht="43.5" customHeight="1">
      <x:c r="A15" s="61" t="str">
        <x:v>M01</x:v>
      </x:c>
      <x:c r="B15" s="58" t="str">
        <x:v>場面素材</x:v>
      </x:c>
      <x:c r="C15" s="58" t="str">
        <x:v>Moonlit</x:v>
      </x:c>
      <x:c r="D15" s="58" t="str">
        <x:v>月夜・無人スタジオ・帰り道・5人の静かな断片</x:v>
      </x:c>
      <x:c r="E15" s="61" t="str">
        <x:v>16:9</x:v>
      </x:c>
      <x:c r="F15" s="61" t="str">
        <x:v>2400×1350</x:v>
      </x:c>
      <x:c r="G15" s="61" t="str">
        <x:v>PNG/WebP</x:v>
      </x:c>
      <x:c r="H15" s="84" t="n">
        <x:v>8</x:v>
      </x:c>
      <x:c r="I15" s="61" t="str">
        <x:v>V01ほか</x:v>
      </x:c>
      <x:c r="J15" s="61" t="str">
        <x:v>P1</x:v>
      </x:c>
      <x:c r="K15" s="58" t="str">
        <x:v>V01／V03／V17</x:v>
      </x:c>
      <x:c r="L15" s="58" t="str">
        <x:v>青紫、静寂、鏡、呼吸、手、足元を中心にする</x:v>
      </x:c>
      <x:c r="M15" s="58" t="str">
        <x:v>暗部つぶれ・顔混同なし</x:v>
      </x:c>
      <x:c r="N15" s="58" t="str">
        <x:v>未着手</x:v>
      </x:c>
    </x:row>
    <x:row r="16" ht="43.5" customHeight="1">
      <x:c r="A16" s="61" t="str">
        <x:v>B01</x:v>
      </x:c>
      <x:c r="B16" s="58" t="str">
        <x:v>場面素材</x:v>
      </x:c>
      <x:c r="C16" s="58" t="str">
        <x:v>Between the Lights</x:v>
      </x:c>
      <x:c r="D16" s="58" t="str">
        <x:v>街灯、夜の寄り道、少し悪戯っぽい5人</x:v>
      </x:c>
      <x:c r="E16" s="61" t="str">
        <x:v>16:9</x:v>
      </x:c>
      <x:c r="F16" s="61" t="str">
        <x:v>2400×1350</x:v>
      </x:c>
      <x:c r="G16" s="61" t="str">
        <x:v>PNG/WebP</x:v>
      </x:c>
      <x:c r="H16" s="84" t="n">
        <x:v>6</x:v>
      </x:c>
      <x:c r="I16" s="61" t="str">
        <x:v>V02</x:v>
      </x:c>
      <x:c r="J16" s="61" t="str">
        <x:v>P1</x:v>
      </x:c>
      <x:c r="K16" s="58" t="str">
        <x:v>V02</x:v>
      </x:c>
      <x:c r="L16" s="58" t="str">
        <x:v>Moonlitより暖色、軽いジャズ感、帰りたくない夜</x:v>
      </x:c>
      <x:c r="M16" s="58" t="str">
        <x:v>サウナ的蒸気・過剰ネオンなし</x:v>
      </x:c>
      <x:c r="N16" s="58" t="str">
        <x:v>未着手</x:v>
      </x:c>
    </x:row>
    <x:row r="17" ht="43.5" customHeight="1">
      <x:c r="A17" s="61" t="str">
        <x:v>T01</x:v>
      </x:c>
      <x:c r="B17" s="58" t="str">
        <x:v>場面素材</x:v>
      </x:c>
      <x:c r="C17" s="58" t="str">
        <x:v>Transition</x:v>
      </x:c>
      <x:c r="D17" s="58" t="str">
        <x:v>月明かりから夜明けへ連続する橋渡しカット</x:v>
      </x:c>
      <x:c r="E17" s="61" t="str">
        <x:v>16:9</x:v>
      </x:c>
      <x:c r="F17" s="61" t="str">
        <x:v>2400×1350</x:v>
      </x:c>
      <x:c r="G17" s="61" t="str">
        <x:v>PNG/WebP</x:v>
      </x:c>
      <x:c r="H17" s="84" t="n">
        <x:v>2</x:v>
      </x:c>
      <x:c r="I17" s="61" t="str">
        <x:v>V03／V10</x:v>
      </x:c>
      <x:c r="J17" s="61" t="str">
        <x:v>P1</x:v>
      </x:c>
      <x:c r="K17" s="58" t="str">
        <x:v>V03</x:v>
      </x:c>
      <x:c r="L17" s="58" t="str">
        <x:v>同一構図の夜版・薄明版を作る</x:v>
      </x:c>
      <x:c r="M17" s="58" t="str">
        <x:v>差分編集で位置関係が一致</x:v>
      </x:c>
      <x:c r="N17" s="58" t="str">
        <x:v>未着手</x:v>
      </x:c>
    </x:row>
    <x:row r="18" ht="43.5" customHeight="1">
      <x:c r="A18" s="61" t="str">
        <x:v>H01</x:v>
      </x:c>
      <x:c r="B18" s="58" t="str">
        <x:v>メンバーHero</x:v>
      </x:c>
      <x:c r="C18" s="58" t="str">
        <x:v>YUTO</x:v>
      </x:c>
      <x:c r="D18" s="58" t="str">
        <x:v>夜明け前：Deep Blue、静かな視線の全身＋寄り</x:v>
      </x:c>
      <x:c r="E18" s="61" t="str">
        <x:v>9:16</x:v>
      </x:c>
      <x:c r="F18" s="61" t="str">
        <x:v>1440×2560</x:v>
      </x:c>
      <x:c r="G18" s="61" t="str">
        <x:v>PNG/WebP</x:v>
      </x:c>
      <x:c r="H18" s="84" t="n">
        <x:v>2</x:v>
      </x:c>
      <x:c r="I18" s="61" t="str">
        <x:v>V04／V09／V10</x:v>
      </x:c>
      <x:c r="J18" s="61" t="str">
        <x:v>P1</x:v>
      </x:c>
      <x:c r="K18" s="58" t="str">
        <x:v>V04／V09／V10</x:v>
      </x:c>
      <x:c r="L18" s="58" t="str">
        <x:v>若さ、ハイトーンの繊細さ、薄明</x:v>
      </x:c>
      <x:c r="M18" s="58" t="str">
        <x:v>SHOに見えない</x:v>
      </x:c>
      <x:c r="N18" s="58" t="str">
        <x:v>未着手</x:v>
      </x:c>
    </x:row>
    <x:row r="19" ht="43.5" customHeight="1">
      <x:c r="A19" s="61" t="str">
        <x:v>H02</x:v>
      </x:c>
      <x:c r="B19" s="58" t="str">
        <x:v>メンバーHero</x:v>
      </x:c>
      <x:c r="C19" s="58" t="str">
        <x:v>REN</x:v>
      </x:c>
      <x:c r="D19" s="58" t="str">
        <x:v>朝日：Gold、声を出す直前の全身＋寄り</x:v>
      </x:c>
      <x:c r="E19" s="61" t="str">
        <x:v>9:16</x:v>
      </x:c>
      <x:c r="F19" s="61" t="str">
        <x:v>1440×2560</x:v>
      </x:c>
      <x:c r="G19" s="61" t="str">
        <x:v>PNG/WebP</x:v>
      </x:c>
      <x:c r="H19" s="84" t="n">
        <x:v>2</x:v>
      </x:c>
      <x:c r="I19" s="61" t="str">
        <x:v>V05／V09／V10</x:v>
      </x:c>
      <x:c r="J19" s="61" t="str">
        <x:v>P1</x:v>
      </x:c>
      <x:c r="K19" s="58" t="str">
        <x:v>V05／V09／V10</x:v>
      </x:c>
      <x:c r="L19" s="58" t="str">
        <x:v>逆光、歌唱の中心、落ち着いた強さ</x:v>
      </x:c>
      <x:c r="M19" s="58" t="str">
        <x:v>口形を誇張しない</x:v>
      </x:c>
      <x:c r="N19" s="58" t="str">
        <x:v>未着手</x:v>
      </x:c>
    </x:row>
    <x:row r="20" ht="43.5" customHeight="1">
      <x:c r="A20" s="61" t="str">
        <x:v>H03</x:v>
      </x:c>
      <x:c r="B20" s="58" t="str">
        <x:v>メンバーHero</x:v>
      </x:c>
      <x:c r="C20" s="58" t="str">
        <x:v>LEO</x:v>
      </x:c>
      <x:c r="D20" s="58" t="str">
        <x:v>真昼：Orange、開いた表情の全身＋寄り</x:v>
      </x:c>
      <x:c r="E20" s="61" t="str">
        <x:v>9:16</x:v>
      </x:c>
      <x:c r="F20" s="61" t="str">
        <x:v>1440×2560</x:v>
      </x:c>
      <x:c r="G20" s="61" t="str">
        <x:v>PNG/WebP</x:v>
      </x:c>
      <x:c r="H20" s="84" t="n">
        <x:v>2</x:v>
      </x:c>
      <x:c r="I20" s="61" t="str">
        <x:v>V06／V09／V10</x:v>
      </x:c>
      <x:c r="J20" s="61" t="str">
        <x:v>P1</x:v>
      </x:c>
      <x:c r="K20" s="58" t="str">
        <x:v>V06／V09／V10</x:v>
      </x:c>
      <x:c r="L20" s="58" t="str">
        <x:v>明るさ100％だが子供っぽくしすぎない</x:v>
      </x:c>
      <x:c r="M20" s="58" t="str">
        <x:v>顔の作画が軽くなりすぎない</x:v>
      </x:c>
      <x:c r="N20" s="58" t="str">
        <x:v>未着手</x:v>
      </x:c>
    </x:row>
    <x:row r="21" ht="43.5" customHeight="1">
      <x:c r="A21" s="61" t="str">
        <x:v>H04</x:v>
      </x:c>
      <x:c r="B21" s="58" t="str">
        <x:v>メンバーHero</x:v>
      </x:c>
      <x:c r="C21" s="58" t="str">
        <x:v>KAI</x:v>
      </x:c>
      <x:c r="D21" s="58" t="str">
        <x:v>夕暮れ：Crimson、長い影の全身＋寄り</x:v>
      </x:c>
      <x:c r="E21" s="61" t="str">
        <x:v>9:16</x:v>
      </x:c>
      <x:c r="F21" s="61" t="str">
        <x:v>1440×2560</x:v>
      </x:c>
      <x:c r="G21" s="61" t="str">
        <x:v>PNG/WebP</x:v>
      </x:c>
      <x:c r="H21" s="84" t="n">
        <x:v>2</x:v>
      </x:c>
      <x:c r="I21" s="61" t="str">
        <x:v>V07／V09／V10</x:v>
      </x:c>
      <x:c r="J21" s="61" t="str">
        <x:v>P1</x:v>
      </x:c>
      <x:c r="K21" s="58" t="str">
        <x:v>V07／V09／V10</x:v>
      </x:c>
      <x:c r="L21" s="58" t="str">
        <x:v>リーダーの重心、手、ジャケット、夕日</x:v>
      </x:c>
      <x:c r="M21" s="58" t="str">
        <x:v>赤を炎に置き換えすぎない</x:v>
      </x:c>
      <x:c r="N21" s="58" t="str">
        <x:v>未着手</x:v>
      </x:c>
    </x:row>
    <x:row r="22" ht="43.5" customHeight="1">
      <x:c r="A22" s="61" t="str">
        <x:v>H05</x:v>
      </x:c>
      <x:c r="B22" s="58" t="str">
        <x:v>メンバーHero</x:v>
      </x:c>
      <x:c r="C22" s="58" t="str">
        <x:v>SHO</x:v>
      </x:c>
      <x:c r="D22" s="58" t="str">
        <x:v>夜：Purple、身体表現の全身＋寄り</x:v>
      </x:c>
      <x:c r="E22" s="61" t="str">
        <x:v>9:16</x:v>
      </x:c>
      <x:c r="F22" s="61" t="str">
        <x:v>1440×2560</x:v>
      </x:c>
      <x:c r="G22" s="61" t="str">
        <x:v>PNG/WebP</x:v>
      </x:c>
      <x:c r="H22" s="84" t="n">
        <x:v>2</x:v>
      </x:c>
      <x:c r="I22" s="61" t="str">
        <x:v>V08／V09／V10</x:v>
      </x:c>
      <x:c r="J22" s="61" t="str">
        <x:v>P1</x:v>
      </x:c>
      <x:c r="K22" s="58" t="str">
        <x:v>V08／V09／V10</x:v>
      </x:c>
      <x:c r="L22" s="58" t="str">
        <x:v>鋭い集中、肩・首・重心、静かな夜</x:v>
      </x:c>
      <x:c r="M22" s="58" t="str">
        <x:v>YUTOに見えない／体格が縮まない</x:v>
      </x:c>
      <x:c r="N22" s="58" t="str">
        <x:v>未着手</x:v>
      </x:c>
    </x:row>
    <x:row r="23" ht="43.5" customHeight="1">
      <x:c r="A23" s="61" t="str">
        <x:v>H06</x:v>
      </x:c>
      <x:c r="B23" s="58" t="str">
        <x:v>集合Hero</x:v>
      </x:c>
      <x:c r="C23" s="58" t="str">
        <x:v>5人</x:v>
      </x:c>
      <x:c r="D23" s="58" t="str">
        <x:v>五色が白金へ統合する集合カット</x:v>
      </x:c>
      <x:c r="E23" s="61" t="str">
        <x:v>16:9</x:v>
      </x:c>
      <x:c r="F23" s="61" t="str">
        <x:v>2400×1350</x:v>
      </x:c>
      <x:c r="G23" s="61" t="str">
        <x:v>PNG/WebP</x:v>
      </x:c>
      <x:c r="H23" s="84" t="n">
        <x:v>2</x:v>
      </x:c>
      <x:c r="I23" s="61" t="str">
        <x:v>V09／V10</x:v>
      </x:c>
      <x:c r="J23" s="61" t="str">
        <x:v>P1</x:v>
      </x:c>
      <x:c r="K23" s="58" t="str">
        <x:v>V09／V10</x:v>
      </x:c>
      <x:c r="L23" s="58" t="str">
        <x:v>横一列版と奥行きのある隊形版</x:v>
      </x:c>
      <x:c r="M23" s="58" t="str">
        <x:v>全員の顔・身長・衣装一致</x:v>
      </x:c>
      <x:c r="N23" s="58" t="str">
        <x:v>未着手</x:v>
      </x:c>
    </x:row>
    <x:row r="24" ht="43.5" customHeight="1">
      <x:c r="A24" s="61" t="str">
        <x:v>S01</x:v>
      </x:c>
      <x:c r="B24" s="58" t="str">
        <x:v>背景素材</x:v>
      </x:c>
      <x:c r="C24" s="58" t="str">
        <x:v>SOLAR</x:v>
      </x:c>
      <x:c r="D24" s="58" t="str">
        <x:v>夜明け前の道路、朝の屋上、真昼の白い空間、夕方、夜</x:v>
      </x:c>
      <x:c r="E24" s="61" t="str">
        <x:v>16:9</x:v>
      </x:c>
      <x:c r="F24" s="61" t="str">
        <x:v>2400×1350</x:v>
      </x:c>
      <x:c r="G24" s="61" t="str">
        <x:v>PNG/WebP</x:v>
      </x:c>
      <x:c r="H24" s="84" t="n">
        <x:v>4</x:v>
      </x:c>
      <x:c r="I24" s="61" t="str">
        <x:v>SOLAR期</x:v>
      </x:c>
      <x:c r="J24" s="61" t="str">
        <x:v>P1</x:v>
      </x:c>
      <x:c r="K24" s="58" t="str">
        <x:v>V03／V10／V14／V18</x:v>
      </x:c>
      <x:c r="L24" s="58" t="str">
        <x:v>人物なしのクリーンプレート</x:v>
      </x:c>
      <x:c r="M24" s="58" t="str">
        <x:v>光源方向とパースが明確</x:v>
      </x:c>
      <x:c r="N24" s="58" t="str">
        <x:v>未着手</x:v>
      </x:c>
    </x:row>
    <x:row r="25" ht="43.5" customHeight="1">
      <x:c r="A25" s="61" t="str">
        <x:v>S03</x:v>
      </x:c>
      <x:c r="B25" s="58" t="str">
        <x:v>パフォーマンス</x:v>
      </x:c>
      <x:c r="C25" s="58" t="str">
        <x:v>SOLAR</x:v>
      </x:c>
      <x:c r="D25" s="58" t="str">
        <x:v>5人の基本フォーメーション：正面固定×5</x:v>
      </x:c>
      <x:c r="E25" s="61" t="str">
        <x:v>16:9</x:v>
      </x:c>
      <x:c r="F25" s="61" t="str">
        <x:v>2400×1350</x:v>
      </x:c>
      <x:c r="G25" s="61" t="str">
        <x:v>PNG/WebP</x:v>
      </x:c>
      <x:c r="H25" s="84" t="n">
        <x:v>5</x:v>
      </x:c>
      <x:c r="I25" s="61" t="str">
        <x:v>V00／V10／V11</x:v>
      </x:c>
      <x:c r="J25" s="61" t="str">
        <x:v>P0</x:v>
      </x:c>
      <x:c r="K25" s="58" t="str">
        <x:v>V00／V10／V11</x:v>
      </x:c>
      <x:c r="L25" s="58" t="str">
        <x:v>全身、床面、中央9:16安全域を確保</x:v>
      </x:c>
      <x:c r="M25" s="58" t="str">
        <x:v>足先まで入り人数5が維持</x:v>
      </x:c>
      <x:c r="N25" s="58" t="str">
        <x:v>未着手</x:v>
      </x:c>
    </x:row>
    <x:row r="26" ht="43.5" customHeight="1">
      <x:c r="A26" s="61" t="str">
        <x:v>FX01</x:v>
      </x:c>
      <x:c r="B26" s="58" t="str">
        <x:v>合成素材</x:v>
      </x:c>
      <x:c r="C26" s="58" t="str">
        <x:v>共通</x:v>
      </x:c>
      <x:c r="D26" s="58" t="str">
        <x:v>光漏れ、埃、粒子、フィルムグレインの透過素材</x:v>
      </x:c>
      <x:c r="E26" s="61" t="str">
        <x:v>16:9</x:v>
      </x:c>
      <x:c r="F26" s="61" t="str">
        <x:v>2400×1350</x:v>
      </x:c>
      <x:c r="G26" s="61" t="str">
        <x:v>PNG/動画</x:v>
      </x:c>
      <x:c r="H26" s="84" t="n">
        <x:v>4</x:v>
      </x:c>
      <x:c r="I26" s="61" t="str">
        <x:v>全動画</x:v>
      </x:c>
      <x:c r="J26" s="61" t="str">
        <x:v>P1</x:v>
      </x:c>
      <x:c r="K26" s="58" t="str">
        <x:v>V01–V23</x:v>
      </x:c>
      <x:c r="L26" s="58" t="str">
        <x:v>炎そのものより光と空気の質感を作る</x:v>
      </x:c>
      <x:c r="M26" s="58" t="str">
        <x:v>過剰グローで顔を隠さない</x:v>
      </x:c>
      <x:c r="N26" s="58" t="str">
        <x:v>未着手</x:v>
      </x:c>
    </x:row>
    <x:row r="27" ht="43.5" customHeight="1">
      <x:c r="A27" s="61" t="str">
        <x:v>ST01</x:v>
      </x:c>
      <x:c r="B27" s="58" t="str">
        <x:v>場面素材</x:v>
      </x:c>
      <x:c r="C27" s="58" t="str">
        <x:v>REN</x:v>
      </x:c>
      <x:c r="D27" s="58" t="str">
        <x:v>レコーディングブース、マイク、譜面、コントロールルーム</x:v>
      </x:c>
      <x:c r="E27" s="61" t="str">
        <x:v>16:9</x:v>
      </x:c>
      <x:c r="F27" s="61" t="str">
        <x:v>2400×1350</x:v>
      </x:c>
      <x:c r="G27" s="61" t="str">
        <x:v>PNG/WebP</x:v>
      </x:c>
      <x:c r="H27" s="84" t="n">
        <x:v>4</x:v>
      </x:c>
      <x:c r="I27" s="61" t="str">
        <x:v>V12／V19</x:v>
      </x:c>
      <x:c r="J27" s="61" t="str">
        <x:v>P2</x:v>
      </x:c>
      <x:c r="K27" s="58" t="str">
        <x:v>V12／V19</x:v>
      </x:c>
      <x:c r="L27" s="58" t="str">
        <x:v>実在感あるスタジオ、歌唱前後の静けさ</x:v>
      </x:c>
      <x:c r="M27" s="58" t="str">
        <x:v>機材・指・ケーブルの破綻なし</x:v>
      </x:c>
      <x:c r="N27" s="58" t="str">
        <x:v>未着手</x:v>
      </x:c>
    </x:row>
    <x:row r="28" ht="43.5" customHeight="1">
      <x:c r="A28" s="61" t="str">
        <x:v>RH01</x:v>
      </x:c>
      <x:c r="B28" s="58" t="str">
        <x:v>場面素材</x:v>
      </x:c>
      <x:c r="C28" s="58" t="str">
        <x:v>Rehearsal</x:v>
      </x:c>
      <x:c r="D28" s="58" t="str">
        <x:v>夏フェスの空ステージ、立ち位置確認、照明テスト</x:v>
      </x:c>
      <x:c r="E28" s="61" t="str">
        <x:v>16:9</x:v>
      </x:c>
      <x:c r="F28" s="61" t="str">
        <x:v>2400×1350</x:v>
      </x:c>
      <x:c r="G28" s="61" t="str">
        <x:v>PNG/WebP</x:v>
      </x:c>
      <x:c r="H28" s="84" t="n">
        <x:v>5</x:v>
      </x:c>
      <x:c r="I28" s="61" t="str">
        <x:v>V13／V23</x:v>
      </x:c>
      <x:c r="J28" s="61" t="str">
        <x:v>P2</x:v>
      </x:c>
      <x:c r="K28" s="58" t="str">
        <x:v>V13／V23</x:v>
      </x:c>
      <x:c r="L28" s="58" t="str">
        <x:v>汗、逆光、舞台袖、モニター、床テープ</x:v>
      </x:c>
      <x:c r="M28" s="58" t="str">
        <x:v>観客を大量生成しない</x:v>
      </x:c>
      <x:c r="N28" s="58" t="str">
        <x:v>未着手</x:v>
      </x:c>
    </x:row>
    <x:row r="29" ht="43.5" customHeight="1">
      <x:c r="A29" s="61" t="str">
        <x:v>D01</x:v>
      </x:c>
      <x:c r="B29" s="58" t="str">
        <x:v>場面素材</x:v>
      </x:c>
      <x:c r="C29" s="58" t="str">
        <x:v>Daybreak Runner</x:v>
      </x:c>
      <x:c r="D29" s="58" t="str">
        <x:v>始発前の街、足元、横断歩道、白み始める空</x:v>
      </x:c>
      <x:c r="E29" s="61" t="str">
        <x:v>16:9</x:v>
      </x:c>
      <x:c r="F29" s="61" t="str">
        <x:v>2400×1350</x:v>
      </x:c>
      <x:c r="G29" s="61" t="str">
        <x:v>PNG/WebP</x:v>
      </x:c>
      <x:c r="H29" s="84" t="n">
        <x:v>4</x:v>
      </x:c>
      <x:c r="I29" s="61" t="str">
        <x:v>V14／V18</x:v>
      </x:c>
      <x:c r="J29" s="61" t="str">
        <x:v>P2</x:v>
      </x:c>
      <x:c r="K29" s="58" t="str">
        <x:v>V14</x:v>
      </x:c>
      <x:c r="L29" s="58" t="str">
        <x:v>走りは断片化し、速度を背景と編集で作る</x:v>
      </x:c>
      <x:c r="M29" s="58" t="str">
        <x:v>脚・靴・路面の接地が自然</x:v>
      </x:c>
      <x:c r="N29" s="58" t="str">
        <x:v>未着手</x:v>
      </x:c>
    </x:row>
    <x:row r="30" ht="43.5" customHeight="1">
      <x:c r="A30" s="61" t="str">
        <x:v>MSG01</x:v>
      </x:c>
      <x:c r="B30" s="58" t="str">
        <x:v>人物素材</x:v>
      </x:c>
      <x:c r="C30" s="58" t="str">
        <x:v>5人</x:v>
      </x:c>
      <x:c r="D30" s="58" t="str">
        <x:v>朝のリラックスした表情ポートレート×各1</x:v>
      </x:c>
      <x:c r="E30" s="61" t="str">
        <x:v>4:5</x:v>
      </x:c>
      <x:c r="F30" s="61" t="str">
        <x:v>1600×2000</x:v>
      </x:c>
      <x:c r="G30" s="61" t="str">
        <x:v>PNG/WebP</x:v>
      </x:c>
      <x:c r="H30" s="84" t="n">
        <x:v>5</x:v>
      </x:c>
      <x:c r="I30" s="61" t="str">
        <x:v>V15／V19</x:v>
      </x:c>
      <x:c r="J30" s="61" t="str">
        <x:v>P2</x:v>
      </x:c>
      <x:c r="K30" s="58" t="str">
        <x:v>V15</x:v>
      </x:c>
      <x:c r="L30" s="58" t="str">
        <x:v>H01–H05より私服寄り、素の関係性</x:v>
      </x:c>
      <x:c r="M30" s="58" t="str">
        <x:v>5人のキャラ差を維持</x:v>
      </x:c>
      <x:c r="N30" s="58" t="str">
        <x:v>未着手</x:v>
      </x:c>
    </x:row>
    <x:row r="31" ht="43.5" customHeight="1">
      <x:c r="A31" s="61" t="str">
        <x:v>GH01</x:v>
      </x:c>
      <x:c r="B31" s="58" t="str">
        <x:v>場面素材</x:v>
      </x:c>
      <x:c r="C31" s="58" t="str">
        <x:v>Golden Hour</x:v>
      </x:c>
      <x:c r="D31" s="58" t="str">
        <x:v>屋上、夕風、広い間隔、日没前後</x:v>
      </x:c>
      <x:c r="E31" s="61" t="str">
        <x:v>16:9</x:v>
      </x:c>
      <x:c r="F31" s="61" t="str">
        <x:v>2400×1350</x:v>
      </x:c>
      <x:c r="G31" s="61" t="str">
        <x:v>PNG/WebP</x:v>
      </x:c>
      <x:c r="H31" s="84" t="n">
        <x:v>5</x:v>
      </x:c>
      <x:c r="I31" s="61" t="str">
        <x:v>V16／V10</x:v>
      </x:c>
      <x:c r="J31" s="61" t="str">
        <x:v>P2</x:v>
      </x:c>
      <x:c r="K31" s="58" t="str">
        <x:v>V16</x:v>
      </x:c>
      <x:c r="L31" s="58" t="str">
        <x:v>青春映画の終幕感、静かな掠れ</x:v>
      </x:c>
      <x:c r="M31" s="58" t="str">
        <x:v>夕焼けの彩度を上げすぎない</x:v>
      </x:c>
      <x:c r="N31" s="58" t="str">
        <x:v>未着手</x:v>
      </x:c>
    </x:row>
    <x:row r="32" ht="43.5" customHeight="1">
      <x:c r="A32" s="61" t="str">
        <x:v>PN01</x:v>
      </x:c>
      <x:c r="B32" s="58" t="str">
        <x:v>場面素材</x:v>
      </x:c>
      <x:c r="C32" s="58" t="str">
        <x:v>Afterimage／Moonlit</x:v>
      </x:c>
      <x:c r="D32" s="58" t="str">
        <x:v>消灯後のステージ、無人スタジオ、照明残像</x:v>
      </x:c>
      <x:c r="E32" s="61" t="str">
        <x:v>16:9</x:v>
      </x:c>
      <x:c r="F32" s="61" t="str">
        <x:v>2400×1350</x:v>
      </x:c>
      <x:c r="G32" s="61" t="str">
        <x:v>PNG/WebP</x:v>
      </x:c>
      <x:c r="H32" s="84" t="n">
        <x:v>6</x:v>
      </x:c>
      <x:c r="I32" s="61" t="str">
        <x:v>V17／V21</x:v>
      </x:c>
      <x:c r="J32" s="61" t="str">
        <x:v>P2</x:v>
      </x:c>
      <x:c r="K32" s="58" t="str">
        <x:v>V17／V21</x:v>
      </x:c>
      <x:c r="L32" s="58" t="str">
        <x:v>人より場所・手・足元・鏡を中心にする</x:v>
      </x:c>
      <x:c r="M32" s="58" t="str">
        <x:v>同一場所の昼夜差分が自然</x:v>
      </x:c>
      <x:c r="N32" s="58" t="str">
        <x:v>未着手</x:v>
      </x:c>
    </x:row>
    <x:row r="33" ht="43.5" customHeight="1">
      <x:c r="A33" s="61" t="str">
        <x:v>SN01</x:v>
      </x:c>
      <x:c r="B33" s="58" t="str">
        <x:v>場面素材</x:v>
      </x:c>
      <x:c r="C33" s="58" t="str">
        <x:v>Sun Never Sleeps</x:v>
      </x:c>
      <x:c r="D33" s="58" t="str">
        <x:v>夜、移動、空の会場、明け方、次の朝の5人</x:v>
      </x:c>
      <x:c r="E33" s="61" t="str">
        <x:v>16:9</x:v>
      </x:c>
      <x:c r="F33" s="61" t="str">
        <x:v>2400×1350</x:v>
      </x:c>
      <x:c r="G33" s="61" t="str">
        <x:v>PNG/WebP</x:v>
      </x:c>
      <x:c r="H33" s="84" t="n">
        <x:v>8</x:v>
      </x:c>
      <x:c r="I33" s="61" t="str">
        <x:v>V18／V22</x:v>
      </x:c>
      <x:c r="J33" s="61" t="str">
        <x:v>P2</x:v>
      </x:c>
      <x:c r="K33" s="58" t="str">
        <x:v>V18／V22</x:v>
      </x:c>
      <x:c r="L33" s="58" t="str">
        <x:v>壮大さより静かな確信。白金へ収束</x:v>
      </x:c>
      <x:c r="M33" s="58" t="str">
        <x:v>朝焼けが既視感の強い絶景だけにならない</x:v>
      </x:c>
      <x:c r="N33" s="58" t="str">
        <x:v>未着手</x:v>
      </x:c>
    </x:row>
    <x:row r="34" ht="43.5" customHeight="1">
      <x:c r="A34" s="61" t="str">
        <x:v>DOC01</x:v>
      </x:c>
      <x:c r="B34" s="58" t="str">
        <x:v>記録素材</x:v>
      </x:c>
      <x:c r="C34" s="58" t="str">
        <x:v>SOLAR</x:v>
      </x:c>
      <x:c r="D34" s="58" t="str">
        <x:v>衣装合わせ、撮影準備、移動、モニターチェック</x:v>
      </x:c>
      <x:c r="E34" s="61" t="str">
        <x:v>16:9</x:v>
      </x:c>
      <x:c r="F34" s="61" t="str">
        <x:v>2400×1350</x:v>
      </x:c>
      <x:c r="G34" s="61" t="str">
        <x:v>PNG/WebP</x:v>
      </x:c>
      <x:c r="H34" s="84" t="n">
        <x:v>8</x:v>
      </x:c>
      <x:c r="I34" s="61" t="str">
        <x:v>V19／V23</x:v>
      </x:c>
      <x:c r="J34" s="61" t="str">
        <x:v>P3</x:v>
      </x:c>
      <x:c r="K34" s="58" t="str">
        <x:v>V19</x:v>
      </x:c>
      <x:c r="L34" s="58" t="str">
        <x:v>作品世界内の記録映像として設計</x:v>
      </x:c>
      <x:c r="M34" s="58" t="str">
        <x:v>スタッフ数・機材・鏡像の破綻なし</x:v>
      </x:c>
      <x:c r="N34" s="58" t="str">
        <x:v>未着手</x:v>
      </x:c>
    </x:row>
    <x:row r="35" ht="43.5" customHeight="1">
      <x:c r="A35" s="61" t="str">
        <x:v>OD01</x:v>
      </x:c>
      <x:c r="B35" s="58" t="str">
        <x:v>パフォーマンス</x:v>
      </x:c>
      <x:c r="C35" s="58" t="str">
        <x:v>OVERDRIVE</x:v>
      </x:c>
      <x:c r="D35" s="58" t="str">
        <x:v>ダンススタジオ固定正面、KAI・SHO中心の隊形</x:v>
      </x:c>
      <x:c r="E35" s="61" t="str">
        <x:v>16:9</x:v>
      </x:c>
      <x:c r="F35" s="61" t="str">
        <x:v>2400×1350</x:v>
      </x:c>
      <x:c r="G35" s="61" t="str">
        <x:v>PNG/WebP</x:v>
      </x:c>
      <x:c r="H35" s="84" t="n">
        <x:v>6</x:v>
      </x:c>
      <x:c r="I35" s="61" t="str">
        <x:v>V20</x:v>
      </x:c>
      <x:c r="J35" s="61" t="str">
        <x:v>P3</x:v>
      </x:c>
      <x:c r="K35" s="58" t="str">
        <x:v>V20</x:v>
      </x:c>
      <x:c r="L35" s="58" t="str">
        <x:v>黒・金、重低音、ノースリーブ、床面固定</x:v>
      </x:c>
      <x:c r="M35" s="58" t="str">
        <x:v>群舞の足・腕・人数が維持</x:v>
      </x:c>
      <x:c r="N35" s="58" t="str">
        <x:v>未着手</x:v>
      </x:c>
    </x:row>
    <x:row r="36" ht="43.5" customHeight="1">
      <x:c r="A36" s="61" t="str">
        <x:v>AI01</x:v>
      </x:c>
      <x:c r="B36" s="58" t="str">
        <x:v>比較素材</x:v>
      </x:c>
      <x:c r="C36" s="58" t="str">
        <x:v>Afterimage</x:v>
      </x:c>
      <x:c r="D36" s="58" t="str">
        <x:v>Album版の静けさ／Live版のバンド熱量の対応構図</x:v>
      </x:c>
      <x:c r="E36" s="61" t="str">
        <x:v>16:9</x:v>
      </x:c>
      <x:c r="F36" s="61" t="str">
        <x:v>2400×1350</x:v>
      </x:c>
      <x:c r="G36" s="61" t="str">
        <x:v>PNG/WebP</x:v>
      </x:c>
      <x:c r="H36" s="84" t="n">
        <x:v>4</x:v>
      </x:c>
      <x:c r="I36" s="61" t="str">
        <x:v>V21</x:v>
      </x:c>
      <x:c r="J36" s="61" t="str">
        <x:v>P3</x:v>
      </x:c>
      <x:c r="K36" s="58" t="str">
        <x:v>V21</x:v>
      </x:c>
      <x:c r="L36" s="58" t="str">
        <x:v>同じ構図を照明・衣装・姿勢で対比</x:v>
      </x:c>
      <x:c r="M36" s="58" t="str">
        <x:v>左右で顔・体格が同一人物</x:v>
      </x:c>
      <x:c r="N36" s="58" t="str">
        <x:v>未着手</x:v>
      </x:c>
    </x:row>
    <x:row r="37" ht="43.5" customHeight="1">
      <x:c r="A37" s="61" t="str">
        <x:v>LS01</x:v>
      </x:c>
      <x:c r="B37" s="58" t="str">
        <x:v>場面素材</x:v>
      </x:c>
      <x:c r="C37" s="58" t="str">
        <x:v>Sun Never Sleeps</x:v>
      </x:c>
      <x:c r="D37" s="58" t="str">
        <x:v>観客なしの小規模ライブセッション</x:v>
      </x:c>
      <x:c r="E37" s="61" t="str">
        <x:v>16:9</x:v>
      </x:c>
      <x:c r="F37" s="61" t="str">
        <x:v>2400×1350</x:v>
      </x:c>
      <x:c r="G37" s="61" t="str">
        <x:v>PNG/WebP</x:v>
      </x:c>
      <x:c r="H37" s="84" t="n">
        <x:v>5</x:v>
      </x:c>
      <x:c r="I37" s="61" t="str">
        <x:v>V22</x:v>
      </x:c>
      <x:c r="J37" s="61" t="str">
        <x:v>P3</x:v>
      </x:c>
      <x:c r="K37" s="58" t="str">
        <x:v>V22</x:v>
      </x:c>
      <x:c r="L37" s="58" t="str">
        <x:v>マイク、逆光、椅子／立ち位置、静かなバンド感</x:v>
      </x:c>
      <x:c r="M37" s="58" t="str">
        <x:v>口元・手・機材の破綻なし</x:v>
      </x:c>
      <x:c r="N37" s="58" t="str">
        <x:v>未着手</x:v>
      </x:c>
    </x:row>
    <x:row r="38" ht="43.5" customHeight="1">
      <x:c r="A38" s="62" t="str">
        <x:v>TD01</x:v>
      </x:c>
      <x:c r="B38" s="59" t="str">
        <x:v>記録素材</x:v>
      </x:c>
      <x:c r="C38" s="59" t="str">
        <x:v>Tour</x:v>
      </x:c>
      <x:c r="D38" s="59" t="str">
        <x:v>空会場、移動車、楽屋、モニター、通路、リハ後</x:v>
      </x:c>
      <x:c r="E38" s="62" t="str">
        <x:v>16:9</x:v>
      </x:c>
      <x:c r="F38" s="62" t="str">
        <x:v>2400×1350</x:v>
      </x:c>
      <x:c r="G38" s="62" t="str">
        <x:v>PNG/WebP</x:v>
      </x:c>
      <x:c r="H38" s="85" t="n">
        <x:v>8</x:v>
      </x:c>
      <x:c r="I38" s="62" t="str">
        <x:v>V23／V19</x:v>
      </x:c>
      <x:c r="J38" s="62" t="str">
        <x:v>P3</x:v>
      </x:c>
      <x:c r="K38" s="59" t="str">
        <x:v>V23</x:v>
      </x:c>
      <x:c r="L38" s="59" t="str">
        <x:v>西園寺の記録映像らしく舞台裏と反応を撮る</x:v>
      </x:c>
      <x:c r="M38" s="59" t="str">
        <x:v>地名・日付は編集で追加</x:v>
      </x:c>
      <x:c r="N38" s="59" t="str">
        <x:v>未着手</x:v>
      </x:c>
    </x:row>
  </x:sheetData>
  <x:mergeCells>
    <x:mergeCell ref="A1:N2"/>
    <x:mergeCell ref="A3:N3"/>
  </x:mergeCells>
  <x:conditionalFormatting sqref="J5:J38">
    <x:cfRule type="containsText" dxfId="5" priority="1" operator="containsText" text="P0"/>
    <x:cfRule type="containsText" dxfId="6" priority="2" operator="containsText" text="P1"/>
    <x:cfRule type="containsText" dxfId="7" priority="3" operator="containsText" text="P2"/>
    <x:cfRule type="containsText" dxfId="8" priority="4" operator="containsText" text="P3"/>
  </x:conditionalFormatting>
  <x:conditionalFormatting sqref="N5:N38">
    <x:cfRule type="containsText" dxfId="9" priority="5" operator="containsText" text="完了"/>
  </x:conditionalFormatting>
  <x:dataValidations count="2">
    <x:dataValidation type="list" sqref="J5:J38">
      <x:formula1>"P0,P1,P2,P3"</x:formula1>
    </x:dataValidation>
    <x:dataValidation type="list" sqref="N5:N38">
      <x:formula1>"未着手,制作中,確認待ち,完了,保留,要確認"</x:formula1>
    </x:dataValidation>
  </x:dataValidations>
  <x:pageMargins left="0.7" right="0.7" top="0.75" bottom="0.75" header="0.3" footer="0.3"/>
  <x:tableParts count="1">
    <x:tablePart xmlns:r="http://schemas.openxmlformats.org/officeDocument/2006/relationships" r:id="Rf5d36fa94d8a4a3b"/>
  </x:tableParts>
</x:worksheet>
</file>